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58E87FEE-6361-4012-B723-1FC8BAC09137}" xr6:coauthVersionLast="47" xr6:coauthVersionMax="47" xr10:uidLastSave="{00000000-0000-0000-0000-000000000000}"/>
  <bookViews>
    <workbookView xWindow="-120" yWindow="-120" windowWidth="20730" windowHeight="11160" firstSheet="12" activeTab="13" xr2:uid="{00000000-000D-0000-FFFF-FFFF00000000}"/>
  </bookViews>
  <sheets>
    <sheet name="Task" sheetId="15" r:id="rId1"/>
    <sheet name="pre analysis board" sheetId="18" r:id="rId2"/>
    <sheet name="sales trend report" sheetId="19" r:id="rId3"/>
    <sheet name="in analysis board" sheetId="20" r:id="rId4"/>
    <sheet name="Data (2)" sheetId="17" r:id="rId5"/>
    <sheet name="Top 10 Customer" sheetId="21" r:id="rId6"/>
    <sheet name="sales rep" sheetId="23" r:id="rId7"/>
    <sheet name="sales by region" sheetId="24" r:id="rId8"/>
    <sheet name="sales by category" sheetId="25" r:id="rId9"/>
    <sheet name="ship city by revenue" sheetId="26" r:id="rId10"/>
    <sheet name="city by revenue" sheetId="27" r:id="rId11"/>
    <sheet name="State performance" sheetId="29" r:id="rId12"/>
    <sheet name="transaction by amount" sheetId="30" r:id="rId13"/>
    <sheet name="dashboard interface" sheetId="34" r:id="rId14"/>
    <sheet name="post analysis board" sheetId="35" r:id="rId15"/>
    <sheet name="postanalysis board" sheetId="36" r:id="rId16"/>
  </sheets>
  <definedNames>
    <definedName name="_xlnm._FilterDatabase" localSheetId="4" hidden="1">'Data (2)'!$A$1:$Z$370</definedName>
    <definedName name="_xlchart.v1.0" hidden="1">'ship city by revenue'!$D$5:$D$10</definedName>
    <definedName name="_xlchart.v1.1" hidden="1">'ship city by revenue'!$E$4</definedName>
    <definedName name="_xlchart.v1.2" hidden="1">'ship city by revenue'!$E$5:$E$10</definedName>
    <definedName name="_xlchart.v1.7" hidden="1">'ship city by revenue'!$D$5:$D$10</definedName>
    <definedName name="_xlchart.v1.8" hidden="1">'ship city by revenue'!$E$4</definedName>
    <definedName name="_xlchart.v1.9" hidden="1">'ship city by revenue'!$E$5:$E$10</definedName>
    <definedName name="_xlchart.v5.10" hidden="1">'State performance'!$D$6</definedName>
    <definedName name="_xlchart.v5.11" hidden="1">'State performance'!$D$7:$D$18</definedName>
    <definedName name="_xlchart.v5.12" hidden="1">'State performance'!$E$6</definedName>
    <definedName name="_xlchart.v5.13" hidden="1">'State performance'!$E$7:$E$18</definedName>
    <definedName name="_xlchart.v5.3" hidden="1">'State performance'!$D$6</definedName>
    <definedName name="_xlchart.v5.4" hidden="1">'State performance'!$D$7:$D$18</definedName>
    <definedName name="_xlchart.v5.5" hidden="1">'State performance'!$E$6</definedName>
    <definedName name="_xlchart.v5.6" hidden="1">'State performance'!$E$7:$E$18</definedName>
    <definedName name="Slicer_Product_Name">#N/A</definedName>
    <definedName name="Slicer_Salesperson">#N/A</definedName>
  </definedNames>
  <calcPr calcId="152511"/>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<sst xmlns="http://schemas.openxmlformats.org/spreadsheetml/2006/main" count="5916" uniqueCount="190">
  <si>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</si>
  <si>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</si>
  <si>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</si>
  <si>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</si>
  <si>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</si>
  <si>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</si>
  <si>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</si>
  <si>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</si>
  <si>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</si>
  <si>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</si>
  <si>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</si>
  <si>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</si>
  <si>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</si>
  <si>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</si>
  <si>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</si>
  <si>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</si>
  <si>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</si>
  <si>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</si>
  <si>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</si>
  <si>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</si>
  <si>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</si>
  <si>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</si>
  <si>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</si>
  <si>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</si>
  <si>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</si>
  <si>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</si>
  <si>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</si>
  <si>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</si>
  <si>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</si>
  <si>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</si>
  <si>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</si>
  <si>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</si>
  <si>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</si>
  <si>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</si>
  <si>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</si>
  <si>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</si>
  <si>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</si>
  <si>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</si>
  <si>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</si>
  <si>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</si>
  <si>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</si>
  <si>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</si>
  <si>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</si>
  <si>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</si>
  <si>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</si>
  <si>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</si>
  <si>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</si>
  <si>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</si>
  <si>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</si>
  <si>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</si>
  <si>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</si>
  <si>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</si>
  <si>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</si>
  <si>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</si>
  <si>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</si>
  <si>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</si>
  <si>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</si>
  <si>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</si>
  <si>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</si>
  <si>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</si>
  <si>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</si>
  <si>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</si>
  <si>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</si>
  <si>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</si>
  <si>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</si>
  <si>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</si>
  <si>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</si>
  <si>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</si>
  <si>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</si>
  <si>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</si>
  <si>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</si>
  <si>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</si>
  <si>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</si>
  <si>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</si>
  <si>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</si>
  <si>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</si>
  <si>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</si>
  <si>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</si>
  <si>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</si>
  <si>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</si>
  <si>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</si>
  <si>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</si>
  <si>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</si>
  <si>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</si>
  <si>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</si>
  <si>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</si>
  <si>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</si>
  <si>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</si>
  <si>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</si>
  <si>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</si>
  <si>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</si>
  <si>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</si>
  <si>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</si>
  <si>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</si>
  <si>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</si>
  <si>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</si>
  <si>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</si>
  <si>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</si>
  <si>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</si>
  <si>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</si>
  <si>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</si>
  <si>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</si>
  <si>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</si>
  <si>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</si>
  <si>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</si>
  <si>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</si>
  <si>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</si>
  <si>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</si>
  <si>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</si>
  <si>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</si>
  <si>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</si>
  <si>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</si>
  <si>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</si>
  <si>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</si>
  <si>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</si>
  <si>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</si>
  <si>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</si>
  <si>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</si>
  <si>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</si>
  <si>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</si>
  <si>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</si>
  <si>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</si>
  <si>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</si>
  <si>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</si>
  <si>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</si>
  <si>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</si>
  <si>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</si>
  <si>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</si>
  <si>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</si>
  <si>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</si>
  <si>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</si>
  <si>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</si>
  <si>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</si>
  <si>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</si>
  <si>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</si>
  <si>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</si>
  <si>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</si>
  <si>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</si>
  <si>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</si>
  <si>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</si>
  <si>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</si>
  <si>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</si>
  <si>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</si>
  <si>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</si>
  <si>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</si>
  <si>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</si>
  <si>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</si>
  <si>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</si>
  <si>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</si>
  <si>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</si>
  <si>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</si>
  <si>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</si>
  <si>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</si>
  <si>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</si>
  <si>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</si>
  <si>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</si>
  <si>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</si>
  <si>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</si>
  <si>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</si>
  <si>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</si>
  <si>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</si>
  <si>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</si>
  <si>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</si>
  <si>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</si>
  <si>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</si>
  <si>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</si>
  <si>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</si>
  <si>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</si>
  <si>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</si>
  <si>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</si>
  <si>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</si>
  <si>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</si>
  <si>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</si>
  <si>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Sep</t>
  </si>
  <si>
    <t>Oct</t>
  </si>
  <si>
    <t>Nov</t>
  </si>
  <si>
    <t>Dec</t>
  </si>
  <si>
    <t>P</t>
  </si>
  <si>
    <t>cities</t>
  </si>
  <si>
    <t>states</t>
  </si>
  <si>
    <t>State performance</t>
  </si>
  <si>
    <t>0-1000</t>
  </si>
  <si>
    <t>1000-2000</t>
  </si>
  <si>
    <t>2000-3000</t>
  </si>
  <si>
    <t>3000-4000</t>
  </si>
  <si>
    <t>Count of Revenue</t>
  </si>
  <si>
    <t>Aug</t>
  </si>
  <si>
    <t>4000-5000</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</si>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</sst>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4" fillId="3" borderId="0" xfId="0" applyFont="1" applyFill="1"/>
    <xf numFmtId="0" fontId="4" fillId="4" borderId="1" xfId="0" applyFont="1" applyFill="1" applyBorder="1"/>
    <xf numFmtId="0" fontId="3" fillId="0" borderId="0" xfId="0" applyFont="1" applyAlignment="1">
      <alignment vertical="center" wrapText="1"/>
    </xf>
    <xf numFmtId="0" fontId="0" fillId="0" borderId="0" xfId="0" pivotButton="1"/>
    <xf numFmtId="164" fontId="0" fillId="0" borderId="0" xfId="0" applyNumberFormat="1" applyAlignment="1">
      <alignment horizontal="left"/>
    </xf>
    <xf numFmtId="0" fontId="0" fillId="0" borderId="0" xfId="0" applyAlignment="1">
      <alignment horizontal="left"/>
    </xf>
    <xf numFmtId="10" fontId="0" fillId="0" borderId="0" xfId="0" applyNumberFormat="1"/>
    <xf numFmtId="0" fontId="2" fillId="5" borderId="2" xfId="0" applyFont="1" applyFill="1" applyBorder="1"/>
    <xf numFmtId="0" fontId="4" fillId="4" borderId="3" xfId="0" applyFont="1" applyFill="1" applyBorder="1"/>
    <xf numFmtId="165" fontId="0" fillId="0" borderId="0" xfId="0" applyNumberFormat="1" applyAlignment="1">
      <alignment horizontal="left"/>
    </xf>
    <xf numFmtId="0" fontId="0" fillId="0" borderId="0" xfId="0" applyNumberFormat="1"/>
  </cellXfs>
  <cellStyles count="2">
    <cellStyle name="Currency" xfId="1" builtinId="4"/>
    <cellStyle name="Normal" xfId="0" builtinId="0"/>
  </cellStyles>
  <dxfs count="13">
    <dxf>
      <font>
        <b/>
        <color theme="1"/>
      </font>
      <border>
        <bottom style="thin">
          <color theme="0" tint="-0.34998626667073579"/>
        </bottom>
        <vertical/>
        <horizontal/>
      </border>
    </dxf>
    <dxf>
      <font>
        <color theme="1"/>
      </font>
      <border diagonalUp="0" diagonalDown="0">
        <left/>
        <right/>
        <top/>
        <bottom/>
        <vertical/>
        <horizontal/>
      </border>
    </dxf>
    <dxf>
      <font>
        <color theme="0" tint="-4.9989318521683403E-2"/>
      </font>
    </dxf>
    <dxf>
      <font>
        <color rgb="FF235733"/>
        <name val="Arial Rounded MT Bold"/>
        <family val="2"/>
        <scheme val="none"/>
      </font>
    </dxf>
    <dxf>
      <font>
        <color theme="0" tint="-4.9989318521683403E-2"/>
      </font>
    </dxf>
    <dxf>
      <font>
        <color theme="0"/>
      </font>
      <fill>
        <patternFill>
          <bgColor rgb="FF2E6C4A"/>
        </patternFill>
      </fill>
    </dxf>
    <dxf>
      <font>
        <color theme="0" tint="-4.9989318521683403E-2"/>
      </font>
    </dxf>
    <dxf>
      <font>
        <color theme="0"/>
      </font>
      <fill>
        <patternFill>
          <bgColor rgb="FF235733"/>
        </patternFill>
      </fill>
    </dxf>
    <dxf>
      <font>
        <color theme="0" tint="-4.9989318521683403E-2"/>
      </font>
    </dxf>
    <dxf>
      <font>
        <color rgb="FF235733"/>
      </font>
    </dxf>
    <dxf>
      <font>
        <color theme="0"/>
      </font>
    </dxf>
    <dxf>
      <font>
        <color theme="0"/>
        <name val="Arial Rounded MT Bold"/>
        <family val="2"/>
        <scheme val="none"/>
      </font>
      <border diagonalUp="0" diagonalDown="0">
        <left/>
        <right/>
        <top/>
        <bottom/>
        <vertical/>
        <horizontal/>
      </border>
    </dxf>
    <dxf>
      <font>
        <color theme="0"/>
      </font>
    </dxf>
  </dxfs>
  <tableStyles count="10" defaultTableStyle="TableStyleMedium2" defaultPivotStyle="PivotStyleLight16">
    <tableStyle name="Slicer Style 1" pivot="0" table="0" count="1" xr9:uid="{021E7F99-21C6-4747-9CEA-2412310AC494}"/>
    <tableStyle name="Slicer Style 1 2" pivot="0" table="0" count="2" xr9:uid="{63EE505E-1CE1-44C0-B3F7-CCFC74123548}">
      <tableStyleElement type="wholeTable" dxfId="12"/>
    </tableStyle>
    <tableStyle name="Slicer Style 1 2 2" pivot="0" table="0" count="3" xr9:uid="{C0E889B1-07C2-45F3-9A7B-023FDD36B23F}">
      <tableStyleElement type="wholeTable" dxfId="11"/>
      <tableStyleElement type="headerRow" dxfId="10"/>
    </tableStyle>
    <tableStyle name="Slicer Style 1 2 2 2" pivot="0" table="0" count="3" xr9:uid="{9B1D8913-8B52-4D48-848C-354E8650AA49}">
      <tableStyleElement type="wholeTable" dxfId="9"/>
      <tableStyleElement type="headerRow" dxfId="8"/>
    </tableStyle>
    <tableStyle name="Slicer Style 1 2 2 2 2" pivot="0" table="0" count="3" xr9:uid="{B021B879-4ACA-47DB-A472-B1702236FB7A}">
      <tableStyleElement type="wholeTable" dxfId="7"/>
      <tableStyleElement type="headerRow" dxfId="6"/>
    </tableStyle>
    <tableStyle name="Slicer Style 1 2 2 2 2 2" pivot="0" table="0" count="3" xr9:uid="{5975A9A4-2598-49BF-A7AF-11EA0C2964B6}">
      <tableStyleElement type="wholeTable" dxfId="5"/>
      <tableStyleElement type="headerRow" dxfId="4"/>
    </tableStyle>
    <tableStyle name="Slicer Style 1 2 2 2 3" pivot="0" table="0" count="3" xr9:uid="{5C7ADA04-99BB-49A8-A9E5-B44F765958A6}">
      <tableStyleElement type="wholeTable" dxfId="3"/>
      <tableStyleElement type="headerRow" dxfId="2"/>
    </tableStyle>
    <tableStyle name="Slicer Style 2" pivot="0" table="0" count="0" xr9:uid="{88B1E7A0-4C03-4EBC-80CF-776AE0F2365C}"/>
    <tableStyle name="Slicer Style 3" pivot="0" table="0" count="1" xr9:uid="{1B999D2E-F01A-40B3-9D21-9E539045F2C9}"/>
    <tableStyle name="SlicerStyleOther1 2" pivot="0" table="0" count="10" xr9:uid="{3D259FFE-42EA-466C-920E-3AA0272B7375}">
      <tableStyleElement type="wholeTable" dxfId="1"/>
      <tableStyleElement type="headerRow" dxfId="0"/>
    </tableStyle>
  </tableStyles>
  <colors>
    <mruColors>
      <color rgb="FF235733"/>
      <color rgb="FF1F5733"/>
      <color rgb="FF2E6C4A"/>
      <color rgb="FF006600"/>
      <color rgb="FF34804E"/>
      <color rgb="FF58BD77"/>
      <color rgb="FF64C588"/>
      <color rgb="FF35834D"/>
      <color rgb="FF48B269"/>
      <color rgb="FF409E5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diagonalUp="0" diagonalDown="0">
            <left/>
            <right/>
            <top/>
            <bottom/>
            <vertical/>
            <horizontal/>
          </border>
        </dxf>
        <dxf>
          <font>
            <sz val="24"/>
            <color theme="0"/>
            <name val="Arial Rounded MT Bold"/>
            <family val="2"/>
            <scheme val="none"/>
          </font>
          <fill>
            <patternFill patternType="solid">
              <fgColor theme="0" tint="-0.249977111117893"/>
              <bgColor theme="0" tint="-0.249977111117893"/>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name val="Arial Rounded MT Bold"/>
            <family val="2"/>
            <scheme val="none"/>
          </font>
          <border diagonalUp="0" diagonalDown="0">
            <left/>
            <right/>
            <top/>
            <bottom/>
            <vertical/>
            <horizontal/>
          </border>
        </dxf>
        <dxf>
          <font>
            <color theme="0"/>
            <name val="Arial Rounded MT Bold"/>
            <family val="2"/>
            <scheme val="none"/>
          </font>
          <fill>
            <patternFill>
              <bgColor rgb="FF006600"/>
            </patternFill>
          </fill>
        </dxf>
        <dxf>
          <font>
            <color theme="0"/>
            <name val="Arial Rounded MT Bold"/>
            <family val="2"/>
            <scheme val="none"/>
          </font>
          <fill>
            <patternFill>
              <bgColor rgb="FF006600"/>
            </patternFill>
          </fill>
        </dxf>
        <dxf>
          <font>
            <color theme="0"/>
            <name val="Arial Rounded MT Bold"/>
            <family val="2"/>
            <scheme val="none"/>
          </font>
          <fill>
            <patternFill>
              <bgColor rgb="FF006600"/>
            </patternFill>
          </fill>
        </dxf>
        <dxf>
          <font>
            <color rgb="FF235733"/>
            <name val="Arial Rounded MT Bold"/>
            <family val="2"/>
            <scheme val="none"/>
          </font>
          <fill>
            <patternFill>
              <bgColor rgb="FF006600"/>
            </patternFill>
          </fill>
        </dxf>
        <dxf>
          <font>
            <sz val="22"/>
            <color theme="0"/>
            <name val="Arial Rounded MT Bold"/>
            <family val="2"/>
            <scheme val="none"/>
          </font>
          <fill>
            <patternFill>
              <bgColor rgb="FF235733"/>
            </patternFill>
          </fill>
        </dxf>
        <dxf>
          <font>
            <name val="Arial Rounded MT Bold"/>
            <family val="2"/>
            <scheme val="none"/>
          </font>
          <fill>
            <patternFill>
              <bgColor rgb="FF006600"/>
            </patternFill>
          </fill>
        </dxf>
        <dxf>
          <font>
            <name val="Arial Rounded MT Bold"/>
            <family val="2"/>
            <scheme val="none"/>
          </font>
          <fill>
            <patternFill>
              <bgColor rgb="FF0066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5"/>
          </x14:slicerStyleElements>
        </x14:slicerStyle>
        <x14:slicerStyle name="Slicer Style 1 2">
          <x14:slicerStyleElements>
            <x14:slicerStyleElement type="selectedItemWithData" dxfId="14"/>
          </x14:slicerStyleElements>
        </x14:slicerStyle>
        <x14:slicerStyle name="Slicer Style 1 2 2">
          <x14:slicerStyleElements>
            <x14:slicerStyleElement type="selectedItemWithData" dxfId="13"/>
          </x14:slicerStyleElements>
        </x14:slicerStyle>
        <x14:slicerStyle name="Slicer Style 1 2 2 2">
          <x14:slicerStyleElements>
            <x14:slicerStyleElement type="selectedItemWithData" dxfId="12"/>
          </x14:slicerStyleElements>
        </x14:slicerStyle>
        <x14:slicerStyle name="Slicer Style 1 2 2 2 2">
          <x14:slicerStyleElements>
            <x14:slicerStyleElement type="selectedItemWithData" dxfId="11"/>
          </x14:slicerStyleElements>
        </x14:slicerStyle>
        <x14:slicerStyle name="Slicer Style 1 2 2 2 2 2">
          <x14:slicerStyleElements>
            <x14:slicerStyleElement type="selectedItemWithData" dxfId="10"/>
          </x14:slicerStyleElements>
        </x14:slicerStyle>
        <x14:slicerStyle name="Slicer Style 1 2 2 2 3">
          <x14:slicerStyleElements>
            <x14:slicerStyleElement type="selectedItemWithData" dxfId="9"/>
          </x14:slicerStyleElements>
        </x14:slicerStyle>
        <x14:slicerStyle name="Slicer Style 2"/>
        <x14:slicerStyle name="Slicer Style 3">
          <x14:slicerStyleElements>
            <x14:slicerStyleElement type="selectedItemWith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trend 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Rounded MT Bold" panose="020F0704030504030204" pitchFamily="34" charset="0"/>
              </a:rPr>
              <a:t>Sales Trend Report</a:t>
            </a:r>
          </a:p>
        </c:rich>
      </c:tx>
      <c:layout>
        <c:manualLayout>
          <c:xMode val="edge"/>
          <c:yMode val="edge"/>
          <c:x val="0.39119549795581687"/>
          <c:y val="3.3542969556453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5400"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3524-412E-9835-45B1A4559BDD}"/>
            </c:ext>
          </c:extLst>
        </c:ser>
        <c:dLbls>
          <c:dLblPos val="t"/>
          <c:showLegendKey val="0"/>
          <c:showVal val="1"/>
          <c:showCatName val="0"/>
          <c:showSerName val="0"/>
          <c:showPercent val="0"/>
          <c:showBubbleSize val="0"/>
        </c:dLbls>
        <c:smooth val="0"/>
        <c:axId val="1474849424"/>
        <c:axId val="1474849968"/>
      </c:lineChart>
      <c:catAx>
        <c:axId val="14748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49968"/>
        <c:crosses val="autoZero"/>
        <c:auto val="1"/>
        <c:lblAlgn val="ctr"/>
        <c:lblOffset val="100"/>
        <c:noMultiLvlLbl val="0"/>
      </c:catAx>
      <c:valAx>
        <c:axId val="14748499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4849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analysis.xlsx]Top 10 Customer!PivotTable1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Rounded MT Bold" panose="020F0704030504030204" pitchFamily="34" charset="0"/>
              </a:rPr>
              <a:t>Top</a:t>
            </a:r>
            <a:r>
              <a:rPr lang="en-US" sz="1100" baseline="0">
                <a:latin typeface="Arial Rounded MT Bold" panose="020F0704030504030204" pitchFamily="34" charset="0"/>
              </a:rPr>
              <a:t> Customers by Revenue</a:t>
            </a:r>
            <a:endParaRPr lang="en-US" sz="1100">
              <a:latin typeface="Arial Rounded MT Bold" panose="020F0704030504030204" pitchFamily="34" charset="0"/>
            </a:endParaRPr>
          </a:p>
        </c:rich>
      </c:tx>
      <c:layout>
        <c:manualLayout>
          <c:xMode val="edge"/>
          <c:yMode val="edge"/>
          <c:x val="5.5207021449850662E-3"/>
          <c:y val="2.9502584904159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2357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235733"/>
            </a:solidFill>
            <a:round/>
          </a:ln>
          <a:effectLst/>
        </c:spPr>
        <c:marker>
          <c:symbol val="none"/>
        </c:marker>
        <c:dLbl>
          <c:idx val="0"/>
          <c:layout>
            <c:manualLayout>
              <c:x val="2.4379878279407213E-2"/>
              <c:y val="-3.2323063915753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235733"/>
            </a:solidFill>
            <a:round/>
          </a:ln>
          <a:effectLst/>
        </c:spPr>
        <c:marker>
          <c:symbol val="none"/>
        </c:marker>
        <c:dLbl>
          <c:idx val="0"/>
          <c:layout>
            <c:manualLayout>
              <c:x val="0.12121202792974507"/>
              <c:y val="8.3476338184999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235733"/>
            </a:solidFill>
            <a:round/>
          </a:ln>
          <a:effectLst/>
        </c:spPr>
        <c:marker>
          <c:symbol val="none"/>
        </c:marker>
      </c:pivotFmt>
      <c:pivotFmt>
        <c:idx val="6"/>
        <c:spPr>
          <a:ln w="28575" cap="rnd">
            <a:solidFill>
              <a:srgbClr val="235733"/>
            </a:solidFill>
            <a:round/>
          </a:ln>
          <a:effectLst/>
        </c:spPr>
        <c:marker>
          <c:symbol val="none"/>
        </c:marker>
      </c:pivotFmt>
      <c:pivotFmt>
        <c:idx val="7"/>
        <c:spPr>
          <a:ln w="28575" cap="rnd">
            <a:solidFill>
              <a:srgbClr val="235733"/>
            </a:solidFill>
            <a:round/>
          </a:ln>
          <a:effectLst/>
        </c:spPr>
        <c:marker>
          <c:symbol val="none"/>
        </c:marker>
      </c:pivotFmt>
      <c:pivotFmt>
        <c:idx val="8"/>
        <c:spPr>
          <a:ln w="28575" cap="rnd">
            <a:solidFill>
              <a:srgbClr val="235733"/>
            </a:solidFill>
            <a:round/>
          </a:ln>
          <a:effectLst/>
        </c:spPr>
        <c:marker>
          <c:symbol val="none"/>
        </c:marker>
      </c:pivotFmt>
      <c:pivotFmt>
        <c:idx val="9"/>
        <c:spPr>
          <a:ln w="28575" cap="rnd">
            <a:solidFill>
              <a:srgbClr val="235733"/>
            </a:solidFill>
            <a:round/>
          </a:ln>
          <a:effectLst/>
        </c:spPr>
        <c:marker>
          <c:symbol val="none"/>
        </c:marker>
      </c:pivotFmt>
      <c:pivotFmt>
        <c:idx val="10"/>
        <c:spPr>
          <a:ln w="28575" cap="rnd">
            <a:solidFill>
              <a:srgbClr val="235733"/>
            </a:solidFill>
            <a:round/>
          </a:ln>
          <a:effectLst/>
        </c:spPr>
        <c:marker>
          <c:symbol val="none"/>
        </c:marker>
      </c:pivotFmt>
      <c:pivotFmt>
        <c:idx val="11"/>
        <c:spPr>
          <a:ln w="28575" cap="rnd">
            <a:solidFill>
              <a:srgbClr val="235733"/>
            </a:solidFill>
            <a:round/>
          </a:ln>
          <a:effectLst/>
        </c:spPr>
        <c:marker>
          <c:symbol val="none"/>
        </c:marker>
      </c:pivotFmt>
      <c:pivotFmt>
        <c:idx val="12"/>
        <c:spPr>
          <a:ln w="28575" cap="rnd">
            <a:solidFill>
              <a:srgbClr val="235733"/>
            </a:solidFill>
            <a:round/>
          </a:ln>
          <a:effectLst/>
        </c:spPr>
        <c:marker>
          <c:symbol val="none"/>
        </c:marker>
      </c:pivotFmt>
      <c:pivotFmt>
        <c:idx val="13"/>
        <c:spPr>
          <a:solidFill>
            <a:schemeClr val="accent1"/>
          </a:solidFill>
          <a:ln w="28575" cap="rnd">
            <a:solidFill>
              <a:srgbClr val="235733"/>
            </a:solidFill>
            <a:round/>
          </a:ln>
          <a:effectLst/>
        </c:spPr>
        <c:marker>
          <c:symbol val="none"/>
        </c:marker>
      </c:pivotFmt>
    </c:pivotFmts>
    <c:plotArea>
      <c:layout/>
      <c:radarChart>
        <c:radarStyle val="marker"/>
        <c:varyColors val="0"/>
        <c:ser>
          <c:idx val="0"/>
          <c:order val="0"/>
          <c:tx>
            <c:strRef>
              <c:f>'Top 10 Customer'!$B$3</c:f>
              <c:strCache>
                <c:ptCount val="1"/>
                <c:pt idx="0">
                  <c:v>Total</c:v>
                </c:pt>
              </c:strCache>
            </c:strRef>
          </c:tx>
          <c:spPr>
            <a:ln w="28575" cap="rnd">
              <a:solidFill>
                <a:srgbClr val="235733"/>
              </a:solidFill>
              <a:round/>
            </a:ln>
            <a:effectLst/>
          </c:spPr>
          <c:marker>
            <c:symbol val="none"/>
          </c:marker>
          <c:dPt>
            <c:idx val="0"/>
            <c:marker>
              <c:symbol val="none"/>
            </c:marker>
            <c:bubble3D val="0"/>
            <c:extLst>
              <c:ext xmlns:c16="http://schemas.microsoft.com/office/drawing/2014/chart" uri="{C3380CC4-5D6E-409C-BE32-E72D297353CC}">
                <c16:uniqueId val="{00000001-5FC9-454E-88C4-BF83452CF7CF}"/>
              </c:ext>
            </c:extLst>
          </c:dPt>
          <c:dPt>
            <c:idx val="1"/>
            <c:marker>
              <c:symbol val="none"/>
            </c:marker>
            <c:bubble3D val="0"/>
            <c:extLst>
              <c:ext xmlns:c16="http://schemas.microsoft.com/office/drawing/2014/chart" uri="{C3380CC4-5D6E-409C-BE32-E72D297353CC}">
                <c16:uniqueId val="{00000003-5FC9-454E-88C4-BF83452CF7CF}"/>
              </c:ext>
            </c:extLst>
          </c:dPt>
          <c:dPt>
            <c:idx val="2"/>
            <c:marker>
              <c:symbol val="none"/>
            </c:marker>
            <c:bubble3D val="0"/>
            <c:extLst>
              <c:ext xmlns:c16="http://schemas.microsoft.com/office/drawing/2014/chart" uri="{C3380CC4-5D6E-409C-BE32-E72D297353CC}">
                <c16:uniqueId val="{00000005-5FC9-454E-88C4-BF83452CF7CF}"/>
              </c:ext>
            </c:extLst>
          </c:dPt>
          <c:dPt>
            <c:idx val="3"/>
            <c:marker>
              <c:symbol val="none"/>
            </c:marker>
            <c:bubble3D val="0"/>
            <c:extLst>
              <c:ext xmlns:c16="http://schemas.microsoft.com/office/drawing/2014/chart" uri="{C3380CC4-5D6E-409C-BE32-E72D297353CC}">
                <c16:uniqueId val="{00000007-5FC9-454E-88C4-BF83452CF7CF}"/>
              </c:ext>
            </c:extLst>
          </c:dPt>
          <c:dPt>
            <c:idx val="4"/>
            <c:marker>
              <c:symbol val="none"/>
            </c:marker>
            <c:bubble3D val="0"/>
            <c:extLst>
              <c:ext xmlns:c16="http://schemas.microsoft.com/office/drawing/2014/chart" uri="{C3380CC4-5D6E-409C-BE32-E72D297353CC}">
                <c16:uniqueId val="{00000009-5FC9-454E-88C4-BF83452CF7CF}"/>
              </c:ext>
            </c:extLst>
          </c:dPt>
          <c:dPt>
            <c:idx val="5"/>
            <c:marker>
              <c:symbol val="none"/>
            </c:marker>
            <c:bubble3D val="0"/>
            <c:extLst>
              <c:ext xmlns:c16="http://schemas.microsoft.com/office/drawing/2014/chart" uri="{C3380CC4-5D6E-409C-BE32-E72D297353CC}">
                <c16:uniqueId val="{00000012-21F2-488E-8CD4-E9706F945D03}"/>
              </c:ext>
            </c:extLst>
          </c:dPt>
          <c:dPt>
            <c:idx val="6"/>
            <c:marker>
              <c:symbol val="none"/>
            </c:marker>
            <c:bubble3D val="0"/>
            <c:extLst>
              <c:ext xmlns:c16="http://schemas.microsoft.com/office/drawing/2014/chart" uri="{C3380CC4-5D6E-409C-BE32-E72D297353CC}">
                <c16:uniqueId val="{0000000B-5FC9-454E-88C4-BF83452CF7CF}"/>
              </c:ext>
            </c:extLst>
          </c:dPt>
          <c:dPt>
            <c:idx val="7"/>
            <c:marker>
              <c:symbol val="none"/>
            </c:marker>
            <c:bubble3D val="0"/>
            <c:extLst>
              <c:ext xmlns:c16="http://schemas.microsoft.com/office/drawing/2014/chart" uri="{C3380CC4-5D6E-409C-BE32-E72D297353CC}">
                <c16:uniqueId val="{0000000D-5FC9-454E-88C4-BF83452CF7CF}"/>
              </c:ext>
            </c:extLst>
          </c:dPt>
          <c:dPt>
            <c:idx val="8"/>
            <c:marker>
              <c:symbol val="none"/>
            </c:marker>
            <c:bubble3D val="0"/>
            <c:extLst>
              <c:ext xmlns:c16="http://schemas.microsoft.com/office/drawing/2014/chart" uri="{C3380CC4-5D6E-409C-BE32-E72D297353CC}">
                <c16:uniqueId val="{0000000F-5FC9-454E-88C4-BF83452CF7CF}"/>
              </c:ext>
            </c:extLst>
          </c:dPt>
          <c:dPt>
            <c:idx val="9"/>
            <c:marker>
              <c:symbol val="none"/>
            </c:marker>
            <c:bubble3D val="0"/>
            <c:extLst>
              <c:ext xmlns:c16="http://schemas.microsoft.com/office/drawing/2014/chart" uri="{C3380CC4-5D6E-409C-BE32-E72D297353CC}">
                <c16:uniqueId val="{00000011-5FC9-454E-88C4-BF83452CF7CF}"/>
              </c:ext>
            </c:extLst>
          </c:dPt>
          <c:dPt>
            <c:idx val="11"/>
            <c:marker>
              <c:symbol val="none"/>
            </c:marker>
            <c:bubble3D val="0"/>
            <c:extLst>
              <c:ext xmlns:c16="http://schemas.microsoft.com/office/drawing/2014/chart" uri="{C3380CC4-5D6E-409C-BE32-E72D297353CC}">
                <c16:uniqueId val="{0000000A-C2BC-4DE5-ABBD-084CCCCF505A}"/>
              </c:ext>
            </c:extLst>
          </c:dPt>
          <c:dLbls>
            <c:dLbl>
              <c:idx val="0"/>
              <c:layout>
                <c:manualLayout>
                  <c:x val="2.4379878279407213E-2"/>
                  <c:y val="-3.23230639157537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C9-454E-88C4-BF83452CF7CF}"/>
                </c:ext>
              </c:extLst>
            </c:dLbl>
            <c:dLbl>
              <c:idx val="1"/>
              <c:layout>
                <c:manualLayout>
                  <c:x val="0.12121202792974507"/>
                  <c:y val="8.3476338184999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C9-454E-88C4-BF83452CF7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2-5FC9-454E-88C4-BF83452CF7CF}"/>
            </c:ext>
          </c:extLst>
        </c:ser>
        <c:dLbls>
          <c:showLegendKey val="0"/>
          <c:showVal val="1"/>
          <c:showCatName val="0"/>
          <c:showSerName val="0"/>
          <c:showPercent val="0"/>
          <c:showBubbleSize val="0"/>
        </c:dLbls>
        <c:axId val="1474853232"/>
        <c:axId val="1474854320"/>
      </c:radarChart>
      <c:catAx>
        <c:axId val="147485323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54320"/>
        <c:crosses val="autoZero"/>
        <c:auto val="1"/>
        <c:lblAlgn val="ctr"/>
        <c:lblOffset val="100"/>
        <c:noMultiLvlLbl val="0"/>
      </c:catAx>
      <c:valAx>
        <c:axId val="147485432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4748532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rep!PivotTable1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Rounded MT Bold" panose="020F0704030504030204" pitchFamily="34" charset="0"/>
              </a:rPr>
              <a:t>SALES</a:t>
            </a:r>
            <a:r>
              <a:rPr lang="en-US" sz="1100" baseline="0">
                <a:latin typeface="Arial Rounded MT Bold" panose="020F0704030504030204" pitchFamily="34" charset="0"/>
              </a:rPr>
              <a:t> REP</a:t>
            </a:r>
            <a:endParaRPr lang="en-US" sz="1100">
              <a:latin typeface="Arial Rounded MT Bold" panose="020F0704030504030204" pitchFamily="34" charset="0"/>
            </a:endParaRPr>
          </a:p>
        </c:rich>
      </c:tx>
      <c:layout>
        <c:manualLayout>
          <c:xMode val="edge"/>
          <c:yMode val="edge"/>
          <c:x val="0.39119549795581687"/>
          <c:y val="3.3542969556453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1"/>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75000"/>
            </a:schemeClr>
          </a:solidFill>
          <a:ln>
            <a:noFill/>
          </a:ln>
          <a:effectLst/>
        </c:spPr>
      </c:pivotFmt>
      <c:pivotFmt>
        <c:idx val="23"/>
        <c:spPr>
          <a:solidFill>
            <a:schemeClr val="accent1">
              <a:lumMod val="60000"/>
              <a:lumOff val="40000"/>
            </a:schemeClr>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s>
    <c:plotArea>
      <c:layout/>
      <c:barChart>
        <c:barDir val="bar"/>
        <c:grouping val="clustered"/>
        <c:varyColors val="0"/>
        <c:ser>
          <c:idx val="0"/>
          <c:order val="0"/>
          <c:tx>
            <c:strRef>
              <c:f>'sales rep'!$B$3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E07E-4635-8587-4032026B2D63}"/>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E07E-4635-8587-4032026B2D63}"/>
              </c:ext>
            </c:extLst>
          </c:dPt>
          <c:dPt>
            <c:idx val="2"/>
            <c:invertIfNegative val="0"/>
            <c:bubble3D val="0"/>
            <c:extLst>
              <c:ext xmlns:c16="http://schemas.microsoft.com/office/drawing/2014/chart" uri="{C3380CC4-5D6E-409C-BE32-E72D297353CC}">
                <c16:uniqueId val="{00000005-E07E-4635-8587-4032026B2D63}"/>
              </c:ext>
            </c:extLst>
          </c:dPt>
          <c:dPt>
            <c:idx val="3"/>
            <c:invertIfNegative val="0"/>
            <c:bubble3D val="0"/>
            <c:extLst>
              <c:ext xmlns:c16="http://schemas.microsoft.com/office/drawing/2014/chart" uri="{C3380CC4-5D6E-409C-BE32-E72D297353CC}">
                <c16:uniqueId val="{00000007-E07E-4635-8587-4032026B2D63}"/>
              </c:ext>
            </c:extLst>
          </c:dPt>
          <c:dPt>
            <c:idx val="4"/>
            <c:invertIfNegative val="0"/>
            <c:bubble3D val="0"/>
            <c:extLst>
              <c:ext xmlns:c16="http://schemas.microsoft.com/office/drawing/2014/chart" uri="{C3380CC4-5D6E-409C-BE32-E72D297353CC}">
                <c16:uniqueId val="{00000009-E07E-4635-8587-4032026B2D63}"/>
              </c:ext>
            </c:extLst>
          </c:dPt>
          <c:dPt>
            <c:idx val="5"/>
            <c:invertIfNegative val="0"/>
            <c:bubble3D val="0"/>
            <c:extLst>
              <c:ext xmlns:c16="http://schemas.microsoft.com/office/drawing/2014/chart" uri="{C3380CC4-5D6E-409C-BE32-E72D297353CC}">
                <c16:uniqueId val="{0000000B-E07E-4635-8587-4032026B2D63}"/>
              </c:ext>
            </c:extLst>
          </c:dPt>
          <c:dPt>
            <c:idx val="6"/>
            <c:invertIfNegative val="0"/>
            <c:bubble3D val="0"/>
            <c:extLst>
              <c:ext xmlns:c16="http://schemas.microsoft.com/office/drawing/2014/chart" uri="{C3380CC4-5D6E-409C-BE32-E72D297353CC}">
                <c16:uniqueId val="{0000000D-E07E-4635-8587-4032026B2D63}"/>
              </c:ext>
            </c:extLst>
          </c:dPt>
          <c:dPt>
            <c:idx val="7"/>
            <c:invertIfNegative val="0"/>
            <c:bubble3D val="0"/>
            <c:extLst>
              <c:ext xmlns:c16="http://schemas.microsoft.com/office/drawing/2014/chart" uri="{C3380CC4-5D6E-409C-BE32-E72D297353CC}">
                <c16:uniqueId val="{0000000F-E07E-4635-8587-4032026B2D63}"/>
              </c:ext>
            </c:extLst>
          </c:dPt>
          <c:dPt>
            <c:idx val="8"/>
            <c:invertIfNegative val="0"/>
            <c:bubble3D val="0"/>
            <c:extLst>
              <c:ext xmlns:c16="http://schemas.microsoft.com/office/drawing/2014/chart" uri="{C3380CC4-5D6E-409C-BE32-E72D297353CC}">
                <c16:uniqueId val="{00000010-E07E-4635-8587-4032026B2D63}"/>
              </c:ext>
            </c:extLst>
          </c:dPt>
          <c:dPt>
            <c:idx val="9"/>
            <c:invertIfNegative val="0"/>
            <c:bubble3D val="0"/>
            <c:extLst>
              <c:ext xmlns:c16="http://schemas.microsoft.com/office/drawing/2014/chart" uri="{C3380CC4-5D6E-409C-BE32-E72D297353CC}">
                <c16:uniqueId val="{00000011-E07E-4635-8587-4032026B2D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rep'!$B$4:$B$12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2-E07E-4635-8587-4032026B2D63}"/>
            </c:ext>
          </c:extLst>
        </c:ser>
        <c:dLbls>
          <c:dLblPos val="outEnd"/>
          <c:showLegendKey val="0"/>
          <c:showVal val="1"/>
          <c:showCatName val="0"/>
          <c:showSerName val="0"/>
          <c:showPercent val="0"/>
          <c:showBubbleSize val="0"/>
        </c:dLbls>
        <c:gapWidth val="19"/>
        <c:axId val="1630115472"/>
        <c:axId val="1630117104"/>
      </c:barChart>
      <c:catAx>
        <c:axId val="163011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117104"/>
        <c:crosses val="autoZero"/>
        <c:auto val="1"/>
        <c:lblAlgn val="ctr"/>
        <c:lblOffset val="100"/>
        <c:noMultiLvlLbl val="0"/>
      </c:catAx>
      <c:valAx>
        <c:axId val="163011710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630115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by region!PivotTable1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Rounded MT Bold" panose="020F0704030504030204" pitchFamily="34" charset="0"/>
              </a:rPr>
              <a:t>SALES</a:t>
            </a:r>
            <a:r>
              <a:rPr lang="en-US" sz="1100" baseline="0">
                <a:latin typeface="Arial Rounded MT Bold" panose="020F0704030504030204" pitchFamily="34" charset="0"/>
              </a:rPr>
              <a:t> BY REGION</a:t>
            </a:r>
            <a:endParaRPr lang="en-US" sz="1100">
              <a:latin typeface="Arial Rounded MT Bold" panose="020F0704030504030204" pitchFamily="34" charset="0"/>
            </a:endParaRPr>
          </a:p>
        </c:rich>
      </c:tx>
      <c:layout>
        <c:manualLayout>
          <c:xMode val="edge"/>
          <c:yMode val="edge"/>
          <c:x val="0.39119549795581687"/>
          <c:y val="3.3542969556453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1"/>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75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1">
              <a:lumMod val="40000"/>
              <a:lumOff val="6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pivotFmt>
      <c:pivotFmt>
        <c:idx val="32"/>
        <c:spPr>
          <a:solidFill>
            <a:schemeClr val="accent1">
              <a:lumMod val="75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60000"/>
              <a:lumOff val="40000"/>
            </a:schemeClr>
          </a:solidFill>
          <a:ln>
            <a:noFill/>
          </a:ln>
          <a:effectLst/>
        </c:spPr>
      </c:pivotFmt>
      <c:pivotFmt>
        <c:idx val="36"/>
        <c:spPr>
          <a:solidFill>
            <a:schemeClr val="accent1">
              <a:lumMod val="40000"/>
              <a:lumOff val="60000"/>
            </a:schemeClr>
          </a:solidFill>
          <a:ln>
            <a:noFill/>
          </a:ln>
          <a:effectLst/>
        </c:spPr>
      </c:pivotFmt>
      <c:pivotFmt>
        <c:idx val="37"/>
        <c:spPr>
          <a:solidFill>
            <a:schemeClr val="accent1">
              <a:lumMod val="40000"/>
              <a:lumOff val="60000"/>
            </a:schemeClr>
          </a:solidFill>
          <a:ln>
            <a:noFill/>
          </a:ln>
          <a:effectLst/>
        </c:spPr>
      </c:pivotFmt>
      <c:pivotFmt>
        <c:idx val="38"/>
        <c:spPr>
          <a:solidFill>
            <a:schemeClr val="accent1">
              <a:lumMod val="20000"/>
              <a:lumOff val="80000"/>
            </a:schemeClr>
          </a:solidFill>
          <a:ln>
            <a:noFill/>
          </a:ln>
          <a:effectLst/>
        </c:spPr>
      </c:pivotFmt>
      <c:pivotFmt>
        <c:idx val="39"/>
        <c:spPr>
          <a:solidFill>
            <a:schemeClr val="accent1">
              <a:lumMod val="75000"/>
            </a:schemeClr>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s>
    <c:plotArea>
      <c:layout/>
      <c:pieChart>
        <c:varyColors val="1"/>
        <c:ser>
          <c:idx val="0"/>
          <c:order val="0"/>
          <c:tx>
            <c:strRef>
              <c:f>'sales by region'!$B$3</c:f>
              <c:strCache>
                <c:ptCount val="1"/>
                <c:pt idx="0">
                  <c:v>Total</c:v>
                </c:pt>
              </c:strCache>
            </c:strRef>
          </c:tx>
          <c:dPt>
            <c:idx val="0"/>
            <c:bubble3D val="0"/>
            <c:spPr>
              <a:solidFill>
                <a:schemeClr val="accent1">
                  <a:lumMod val="75000"/>
                </a:schemeClr>
              </a:solidFill>
              <a:ln>
                <a:noFill/>
              </a:ln>
              <a:effectLst/>
            </c:spPr>
            <c:extLst>
              <c:ext xmlns:c16="http://schemas.microsoft.com/office/drawing/2014/chart" uri="{C3380CC4-5D6E-409C-BE32-E72D297353CC}">
                <c16:uniqueId val="{00000001-2C5B-409C-8E82-4FAAF62B08BA}"/>
              </c:ext>
            </c:extLst>
          </c:dPt>
          <c:dPt>
            <c:idx val="1"/>
            <c:bubble3D val="0"/>
            <c:spPr>
              <a:solidFill>
                <a:schemeClr val="accent2"/>
              </a:solidFill>
              <a:ln>
                <a:noFill/>
              </a:ln>
              <a:effectLst/>
            </c:spPr>
            <c:extLst>
              <c:ext xmlns:c16="http://schemas.microsoft.com/office/drawing/2014/chart" uri="{C3380CC4-5D6E-409C-BE32-E72D297353CC}">
                <c16:uniqueId val="{00000003-2C5B-409C-8E82-4FAAF62B08BA}"/>
              </c:ext>
            </c:extLst>
          </c:dPt>
          <c:dPt>
            <c:idx val="2"/>
            <c:bubble3D val="0"/>
            <c:spPr>
              <a:solidFill>
                <a:schemeClr val="accent3"/>
              </a:solidFill>
              <a:ln>
                <a:noFill/>
              </a:ln>
              <a:effectLst/>
            </c:spPr>
            <c:extLst>
              <c:ext xmlns:c16="http://schemas.microsoft.com/office/drawing/2014/chart" uri="{C3380CC4-5D6E-409C-BE32-E72D297353CC}">
                <c16:uniqueId val="{00000005-2C5B-409C-8E82-4FAAF62B08BA}"/>
              </c:ext>
            </c:extLst>
          </c:dPt>
          <c:dPt>
            <c:idx val="3"/>
            <c:bubble3D val="0"/>
            <c:spPr>
              <a:solidFill>
                <a:schemeClr val="accent4"/>
              </a:solidFill>
              <a:ln>
                <a:noFill/>
              </a:ln>
              <a:effectLst/>
            </c:spPr>
            <c:extLst>
              <c:ext xmlns:c16="http://schemas.microsoft.com/office/drawing/2014/chart" uri="{C3380CC4-5D6E-409C-BE32-E72D297353CC}">
                <c16:uniqueId val="{00000007-2C5B-409C-8E82-4FAAF62B08BA}"/>
              </c:ext>
            </c:extLst>
          </c:dPt>
          <c:dPt>
            <c:idx val="4"/>
            <c:bubble3D val="0"/>
            <c:spPr>
              <a:solidFill>
                <a:schemeClr val="accent5"/>
              </a:solidFill>
              <a:ln>
                <a:noFill/>
              </a:ln>
              <a:effectLst/>
            </c:spPr>
            <c:extLst>
              <c:ext xmlns:c16="http://schemas.microsoft.com/office/drawing/2014/chart" uri="{C3380CC4-5D6E-409C-BE32-E72D297353CC}">
                <c16:uniqueId val="{00000009-2C5B-409C-8E82-4FAAF62B08BA}"/>
              </c:ext>
            </c:extLst>
          </c:dPt>
          <c:dPt>
            <c:idx val="5"/>
            <c:bubble3D val="0"/>
            <c:spPr>
              <a:solidFill>
                <a:schemeClr val="accent6"/>
              </a:solidFill>
              <a:ln>
                <a:noFill/>
              </a:ln>
              <a:effectLst/>
            </c:spPr>
            <c:extLst>
              <c:ext xmlns:c16="http://schemas.microsoft.com/office/drawing/2014/chart" uri="{C3380CC4-5D6E-409C-BE32-E72D297353CC}">
                <c16:uniqueId val="{0000000B-2C5B-409C-8E82-4FAAF62B08B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C5B-409C-8E82-4FAAF62B08B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C5B-409C-8E82-4FAAF62B08B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C5B-409C-8E82-4FAAF62B08B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C5B-409C-8E82-4FAAF62B08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4-2C5B-409C-8E82-4FAAF62B08B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by category!PivotTable1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Rounded MT Bold" panose="020F0704030504030204" pitchFamily="34" charset="0"/>
              </a:rPr>
              <a:t>SALES</a:t>
            </a:r>
            <a:r>
              <a:rPr lang="en-US" sz="1100" baseline="0">
                <a:latin typeface="Arial Rounded MT Bold" panose="020F0704030504030204" pitchFamily="34" charset="0"/>
              </a:rPr>
              <a:t> BY PRODUCT CATEGORY</a:t>
            </a:r>
            <a:endParaRPr lang="en-US" sz="1100">
              <a:latin typeface="Arial Rounded MT Bold" panose="020F0704030504030204" pitchFamily="34" charset="0"/>
            </a:endParaRPr>
          </a:p>
        </c:rich>
      </c:tx>
      <c:layout>
        <c:manualLayout>
          <c:xMode val="edge"/>
          <c:yMode val="edge"/>
          <c:x val="0.39119549795581687"/>
          <c:y val="3.3542969556453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1"/>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75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1">
              <a:lumMod val="40000"/>
              <a:lumOff val="6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pivotFmt>
      <c:pivotFmt>
        <c:idx val="32"/>
        <c:spPr>
          <a:solidFill>
            <a:schemeClr val="accent1">
              <a:lumMod val="75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60000"/>
              <a:lumOff val="40000"/>
            </a:schemeClr>
          </a:solidFill>
          <a:ln>
            <a:noFill/>
          </a:ln>
          <a:effectLst/>
        </c:spPr>
      </c:pivotFmt>
      <c:pivotFmt>
        <c:idx val="36"/>
        <c:spPr>
          <a:solidFill>
            <a:schemeClr val="accent1">
              <a:lumMod val="40000"/>
              <a:lumOff val="60000"/>
            </a:schemeClr>
          </a:solidFill>
          <a:ln>
            <a:noFill/>
          </a:ln>
          <a:effectLst/>
        </c:spPr>
      </c:pivotFmt>
      <c:pivotFmt>
        <c:idx val="37"/>
        <c:spPr>
          <a:solidFill>
            <a:schemeClr val="accent1">
              <a:lumMod val="40000"/>
              <a:lumOff val="60000"/>
            </a:schemeClr>
          </a:solidFill>
          <a:ln>
            <a:noFill/>
          </a:ln>
          <a:effectLst/>
        </c:spPr>
      </c:pivotFmt>
      <c:pivotFmt>
        <c:idx val="38"/>
        <c:spPr>
          <a:solidFill>
            <a:schemeClr val="accent1">
              <a:lumMod val="20000"/>
              <a:lumOff val="80000"/>
            </a:schemeClr>
          </a:solidFill>
          <a:ln>
            <a:noFill/>
          </a:ln>
          <a:effectLst/>
        </c:spPr>
      </c:pivotFmt>
      <c:pivotFmt>
        <c:idx val="3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lumMod val="75000"/>
            </a:schemeClr>
          </a:solidFill>
          <a:ln>
            <a:noFill/>
          </a:ln>
          <a:effectLst/>
        </c:spPr>
      </c:pivotFmt>
      <c:pivotFmt>
        <c:idx val="41"/>
        <c:spPr>
          <a:solidFill>
            <a:schemeClr val="accent1">
              <a:lumMod val="75000"/>
            </a:schemeClr>
          </a:solidFill>
          <a:ln>
            <a:noFill/>
          </a:ln>
          <a:effectLst/>
        </c:spPr>
      </c:pivotFmt>
      <c:pivotFmt>
        <c:idx val="42"/>
        <c:spPr>
          <a:solidFill>
            <a:schemeClr val="accent1">
              <a:lumMod val="75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75000"/>
            </a:schemeClr>
          </a:solidFill>
          <a:ln>
            <a:noFill/>
          </a:ln>
          <a:effectLst/>
        </c:spPr>
      </c:pivotFmt>
    </c:pivotFmts>
    <c:plotArea>
      <c:layout/>
      <c:barChart>
        <c:barDir val="col"/>
        <c:grouping val="clustered"/>
        <c:varyColors val="0"/>
        <c:ser>
          <c:idx val="0"/>
          <c:order val="0"/>
          <c:tx>
            <c:strRef>
              <c:f>'sales by category'!$B$3</c:f>
              <c:strCache>
                <c:ptCount val="1"/>
                <c:pt idx="0">
                  <c:v>Total</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1-3706-4165-B11F-A2F86A3C1C25}"/>
              </c:ext>
            </c:extLst>
          </c:dPt>
          <c:dPt>
            <c:idx val="1"/>
            <c:invertIfNegative val="0"/>
            <c:bubble3D val="0"/>
            <c:extLst>
              <c:ext xmlns:c16="http://schemas.microsoft.com/office/drawing/2014/chart" uri="{C3380CC4-5D6E-409C-BE32-E72D297353CC}">
                <c16:uniqueId val="{00000002-3706-4165-B11F-A2F86A3C1C25}"/>
              </c:ext>
            </c:extLst>
          </c:dPt>
          <c:dPt>
            <c:idx val="2"/>
            <c:invertIfNegative val="0"/>
            <c:bubble3D val="0"/>
            <c:extLst>
              <c:ext xmlns:c16="http://schemas.microsoft.com/office/drawing/2014/chart" uri="{C3380CC4-5D6E-409C-BE32-E72D297353CC}">
                <c16:uniqueId val="{00000004-3706-4165-B11F-A2F86A3C1C25}"/>
              </c:ext>
            </c:extLst>
          </c:dPt>
          <c:dPt>
            <c:idx val="3"/>
            <c:invertIfNegative val="0"/>
            <c:bubble3D val="0"/>
            <c:extLst>
              <c:ext xmlns:c16="http://schemas.microsoft.com/office/drawing/2014/chart" uri="{C3380CC4-5D6E-409C-BE32-E72D297353CC}">
                <c16:uniqueId val="{00000006-3706-4165-B11F-A2F86A3C1C25}"/>
              </c:ext>
            </c:extLst>
          </c:dPt>
          <c:dPt>
            <c:idx val="4"/>
            <c:invertIfNegative val="0"/>
            <c:bubble3D val="0"/>
            <c:extLst>
              <c:ext xmlns:c16="http://schemas.microsoft.com/office/drawing/2014/chart" uri="{C3380CC4-5D6E-409C-BE32-E72D297353CC}">
                <c16:uniqueId val="{00000008-3706-4165-B11F-A2F86A3C1C25}"/>
              </c:ext>
            </c:extLst>
          </c:dPt>
          <c:dPt>
            <c:idx val="5"/>
            <c:invertIfNegative val="0"/>
            <c:bubble3D val="0"/>
            <c:extLst>
              <c:ext xmlns:c16="http://schemas.microsoft.com/office/drawing/2014/chart" uri="{C3380CC4-5D6E-409C-BE32-E72D297353CC}">
                <c16:uniqueId val="{00000009-3706-4165-B11F-A2F86A3C1C25}"/>
              </c:ext>
            </c:extLst>
          </c:dPt>
          <c:dPt>
            <c:idx val="6"/>
            <c:invertIfNegative val="0"/>
            <c:bubble3D val="0"/>
            <c:extLst>
              <c:ext xmlns:c16="http://schemas.microsoft.com/office/drawing/2014/chart" uri="{C3380CC4-5D6E-409C-BE32-E72D297353CC}">
                <c16:uniqueId val="{0000000A-3706-4165-B11F-A2F86A3C1C25}"/>
              </c:ext>
            </c:extLst>
          </c:dPt>
          <c:dPt>
            <c:idx val="7"/>
            <c:invertIfNegative val="0"/>
            <c:bubble3D val="0"/>
            <c:extLst>
              <c:ext xmlns:c16="http://schemas.microsoft.com/office/drawing/2014/chart" uri="{C3380CC4-5D6E-409C-BE32-E72D297353CC}">
                <c16:uniqueId val="{0000000B-3706-4165-B11F-A2F86A3C1C25}"/>
              </c:ext>
            </c:extLst>
          </c:dPt>
          <c:dPt>
            <c:idx val="8"/>
            <c:invertIfNegative val="0"/>
            <c:bubble3D val="0"/>
            <c:extLst>
              <c:ext xmlns:c16="http://schemas.microsoft.com/office/drawing/2014/chart" uri="{C3380CC4-5D6E-409C-BE32-E72D297353CC}">
                <c16:uniqueId val="{0000000C-3706-4165-B11F-A2F86A3C1C25}"/>
              </c:ext>
            </c:extLst>
          </c:dPt>
          <c:dPt>
            <c:idx val="9"/>
            <c:invertIfNegative val="0"/>
            <c:bubble3D val="0"/>
            <c:extLst>
              <c:ext xmlns:c16="http://schemas.microsoft.com/office/drawing/2014/chart" uri="{C3380CC4-5D6E-409C-BE32-E72D297353CC}">
                <c16:uniqueId val="{0000000D-3706-4165-B11F-A2F86A3C1C25}"/>
              </c:ext>
            </c:extLst>
          </c:dPt>
          <c:cat>
            <c:strRef>
              <c:f>'sales by category'!$A$4:$A$9</c:f>
              <c:strCache>
                <c:ptCount val="5"/>
                <c:pt idx="0">
                  <c:v>Beverages</c:v>
                </c:pt>
                <c:pt idx="1">
                  <c:v>Sauces</c:v>
                </c:pt>
                <c:pt idx="2">
                  <c:v>Jams, Preserves</c:v>
                </c:pt>
                <c:pt idx="3">
                  <c:v>Dairy Products</c:v>
                </c:pt>
                <c:pt idx="4">
                  <c:v>Dried Fruit &amp; Nuts</c:v>
                </c:pt>
              </c:strCache>
            </c:strRef>
          </c:cat>
          <c:val>
            <c:numRef>
              <c:f>'sales by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E-3706-4165-B11F-A2F86A3C1C25}"/>
            </c:ext>
          </c:extLst>
        </c:ser>
        <c:dLbls>
          <c:showLegendKey val="0"/>
          <c:showVal val="0"/>
          <c:showCatName val="0"/>
          <c:showSerName val="0"/>
          <c:showPercent val="0"/>
          <c:showBubbleSize val="0"/>
        </c:dLbls>
        <c:gapWidth val="19"/>
        <c:axId val="1714283568"/>
        <c:axId val="1714275408"/>
      </c:barChart>
      <c:catAx>
        <c:axId val="171428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75408"/>
        <c:crosses val="autoZero"/>
        <c:auto val="1"/>
        <c:lblAlgn val="ctr"/>
        <c:lblOffset val="100"/>
        <c:noMultiLvlLbl val="0"/>
      </c:catAx>
      <c:valAx>
        <c:axId val="1714275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8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analysis.xlsx]city by revenue!PivotTable1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Rounded MT Bold" panose="020F0704030504030204" pitchFamily="34" charset="0"/>
              </a:rPr>
              <a:t>cities</a:t>
            </a:r>
            <a:r>
              <a:rPr lang="en-US" sz="1100" baseline="0">
                <a:latin typeface="Arial Rounded MT Bold" panose="020F0704030504030204" pitchFamily="34" charset="0"/>
              </a:rPr>
              <a:t> sale performance</a:t>
            </a:r>
            <a:endParaRPr lang="en-US" sz="1100">
              <a:latin typeface="Arial Rounded MT Bold" panose="020F0704030504030204" pitchFamily="34" charset="0"/>
            </a:endParaRPr>
          </a:p>
        </c:rich>
      </c:tx>
      <c:layout>
        <c:manualLayout>
          <c:xMode val="edge"/>
          <c:yMode val="edge"/>
          <c:x val="0.39119549795581687"/>
          <c:y val="3.35428659652837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1"/>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75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1">
              <a:lumMod val="40000"/>
              <a:lumOff val="6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pivotFmt>
      <c:pivotFmt>
        <c:idx val="32"/>
        <c:spPr>
          <a:solidFill>
            <a:schemeClr val="accent1">
              <a:lumMod val="75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60000"/>
              <a:lumOff val="40000"/>
            </a:schemeClr>
          </a:solidFill>
          <a:ln>
            <a:noFill/>
          </a:ln>
          <a:effectLst/>
        </c:spPr>
      </c:pivotFmt>
      <c:pivotFmt>
        <c:idx val="36"/>
        <c:spPr>
          <a:solidFill>
            <a:schemeClr val="accent1">
              <a:lumMod val="40000"/>
              <a:lumOff val="60000"/>
            </a:schemeClr>
          </a:solidFill>
          <a:ln>
            <a:noFill/>
          </a:ln>
          <a:effectLst/>
        </c:spPr>
      </c:pivotFmt>
      <c:pivotFmt>
        <c:idx val="37"/>
        <c:spPr>
          <a:solidFill>
            <a:schemeClr val="accent1">
              <a:lumMod val="40000"/>
              <a:lumOff val="60000"/>
            </a:schemeClr>
          </a:solidFill>
          <a:ln>
            <a:noFill/>
          </a:ln>
          <a:effectLst/>
        </c:spPr>
      </c:pivotFmt>
      <c:pivotFmt>
        <c:idx val="38"/>
        <c:spPr>
          <a:solidFill>
            <a:schemeClr val="accent1">
              <a:lumMod val="20000"/>
              <a:lumOff val="80000"/>
            </a:schemeClr>
          </a:solidFill>
          <a:ln>
            <a:noFill/>
          </a:ln>
          <a:effectLst/>
        </c:spPr>
      </c:pivotFmt>
      <c:pivotFmt>
        <c:idx val="39"/>
        <c:spPr>
          <a:solidFill>
            <a:schemeClr val="accent1">
              <a:lumMod val="75000"/>
            </a:schemeClr>
          </a:solidFill>
          <a:ln>
            <a:noFill/>
          </a:ln>
          <a:effectLst/>
        </c:spPr>
        <c:marker>
          <c:symbol val="none"/>
        </c:marker>
      </c:pivotFmt>
      <c:pivotFmt>
        <c:idx val="40"/>
        <c:spPr>
          <a:solidFill>
            <a:schemeClr val="accent1">
              <a:lumMod val="50000"/>
            </a:schemeClr>
          </a:solidFill>
          <a:ln>
            <a:noFill/>
          </a:ln>
          <a:effectLst/>
        </c:spPr>
      </c:pivotFmt>
      <c:pivotFmt>
        <c:idx val="41"/>
        <c:spPr>
          <a:solidFill>
            <a:schemeClr val="accent1">
              <a:lumMod val="75000"/>
            </a:schemeClr>
          </a:solidFill>
          <a:ln>
            <a:noFill/>
          </a:ln>
          <a:effectLst/>
        </c:spPr>
      </c:pivotFmt>
      <c:pivotFmt>
        <c:idx val="42"/>
        <c:spPr>
          <a:solidFill>
            <a:schemeClr val="accent1">
              <a:lumMod val="60000"/>
              <a:lumOff val="40000"/>
            </a:schemeClr>
          </a:solidFill>
          <a:ln>
            <a:noFill/>
          </a:ln>
          <a:effectLst/>
        </c:spPr>
      </c:pivotFmt>
      <c:pivotFmt>
        <c:idx val="43"/>
        <c:spPr>
          <a:solidFill>
            <a:schemeClr val="accent1">
              <a:lumMod val="40000"/>
              <a:lumOff val="60000"/>
            </a:schemeClr>
          </a:solidFill>
          <a:ln>
            <a:noFill/>
          </a:ln>
          <a:effectLst/>
        </c:spPr>
      </c:pivotFmt>
      <c:pivotFmt>
        <c:idx val="44"/>
        <c:spPr>
          <a:solidFill>
            <a:schemeClr val="accent1">
              <a:lumMod val="20000"/>
              <a:lumOff val="80000"/>
            </a:schemeClr>
          </a:solidFill>
          <a:ln>
            <a:noFill/>
          </a:ln>
          <a:effectLst/>
        </c:spPr>
      </c:pivotFmt>
      <c:pivotFmt>
        <c:idx val="45"/>
        <c:spPr>
          <a:solidFill>
            <a:schemeClr val="accent1">
              <a:lumMod val="75000"/>
            </a:schemeClr>
          </a:solidFill>
          <a:ln>
            <a:noFill/>
          </a:ln>
          <a:effectLst/>
        </c:spPr>
        <c:marker>
          <c:symbol val="none"/>
        </c:marker>
      </c:pivotFmt>
      <c:pivotFmt>
        <c:idx val="46"/>
        <c:spPr>
          <a:solidFill>
            <a:schemeClr val="accent1">
              <a:lumMod val="50000"/>
            </a:schemeClr>
          </a:solidFill>
          <a:ln>
            <a:noFill/>
          </a:ln>
          <a:effectLst/>
        </c:spPr>
      </c:pivotFmt>
      <c:pivotFmt>
        <c:idx val="47"/>
        <c:spPr>
          <a:solidFill>
            <a:schemeClr val="accent1">
              <a:lumMod val="60000"/>
              <a:lumOff val="40000"/>
            </a:schemeClr>
          </a:solidFill>
          <a:ln>
            <a:noFill/>
          </a:ln>
          <a:effectLst/>
        </c:spPr>
      </c:pivotFmt>
      <c:pivotFmt>
        <c:idx val="48"/>
        <c:spPr>
          <a:solidFill>
            <a:schemeClr val="accent1">
              <a:lumMod val="40000"/>
              <a:lumOff val="60000"/>
            </a:schemeClr>
          </a:solidFill>
          <a:ln>
            <a:noFill/>
          </a:ln>
          <a:effectLst/>
        </c:spPr>
      </c:pivotFmt>
      <c:pivotFmt>
        <c:idx val="49"/>
        <c:spPr>
          <a:solidFill>
            <a:schemeClr val="accent1">
              <a:lumMod val="20000"/>
              <a:lumOff val="80000"/>
            </a:schemeClr>
          </a:solidFill>
          <a:ln>
            <a:noFill/>
          </a:ln>
          <a:effectLst/>
        </c:spPr>
      </c:pivotFmt>
      <c:pivotFmt>
        <c:idx val="5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lumMod val="75000"/>
            </a:schemeClr>
          </a:solidFill>
          <a:ln>
            <a:noFill/>
          </a:ln>
          <a:effectLst/>
        </c:spPr>
      </c:pivotFmt>
      <c:pivotFmt>
        <c:idx val="52"/>
        <c:spPr>
          <a:solidFill>
            <a:schemeClr val="accent1">
              <a:lumMod val="75000"/>
            </a:schemeClr>
          </a:solidFill>
          <a:ln>
            <a:noFill/>
          </a:ln>
          <a:effectLst/>
        </c:spPr>
      </c:pivotFmt>
      <c:pivotFmt>
        <c:idx val="53"/>
        <c:spPr>
          <a:solidFill>
            <a:schemeClr val="accent1">
              <a:lumMod val="75000"/>
            </a:schemeClr>
          </a:solidFill>
          <a:ln>
            <a:noFill/>
          </a:ln>
          <a:effectLst/>
        </c:spPr>
      </c:pivotFmt>
      <c:pivotFmt>
        <c:idx val="54"/>
        <c:spPr>
          <a:solidFill>
            <a:schemeClr val="accent1">
              <a:lumMod val="75000"/>
            </a:schemeClr>
          </a:solidFill>
          <a:ln>
            <a:noFill/>
          </a:ln>
          <a:effectLst/>
        </c:spPr>
        <c:dLbl>
          <c:idx val="0"/>
          <c:layout>
            <c:manualLayout>
              <c:x val="7.0671364983099132E-3"/>
              <c:y val="-0.352941176470588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lumMod val="75000"/>
            </a:schemeClr>
          </a:solidFill>
          <a:ln>
            <a:noFill/>
          </a:ln>
          <a:effectLst/>
        </c:spPr>
        <c:dLbl>
          <c:idx val="0"/>
          <c:layout>
            <c:manualLayout>
              <c:x val="-7.0671364983100884E-3"/>
              <c:y val="-0.23529411764705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'city by revenue'!$B$3</c:f>
              <c:strCache>
                <c:ptCount val="1"/>
                <c:pt idx="0">
                  <c:v>Total</c:v>
                </c:pt>
              </c:strCache>
            </c:strRef>
          </c:tx>
          <c:spPr>
            <a:solidFill>
              <a:schemeClr val="accent1">
                <a:lumMod val="75000"/>
              </a:schemeClr>
            </a:solidFill>
            <a:ln>
              <a:noFill/>
            </a:ln>
            <a:effectLst/>
          </c:spPr>
          <c:dPt>
            <c:idx val="0"/>
            <c:bubble3D val="0"/>
            <c:extLst>
              <c:ext xmlns:c16="http://schemas.microsoft.com/office/drawing/2014/chart" uri="{C3380CC4-5D6E-409C-BE32-E72D297353CC}">
                <c16:uniqueId val="{00000000-9921-4AAC-9C8A-301FCFD4703C}"/>
              </c:ext>
            </c:extLst>
          </c:dPt>
          <c:dPt>
            <c:idx val="1"/>
            <c:bubble3D val="0"/>
            <c:extLst>
              <c:ext xmlns:c16="http://schemas.microsoft.com/office/drawing/2014/chart" uri="{C3380CC4-5D6E-409C-BE32-E72D297353CC}">
                <c16:uniqueId val="{00000001-9921-4AAC-9C8A-301FCFD4703C}"/>
              </c:ext>
            </c:extLst>
          </c:dPt>
          <c:dPt>
            <c:idx val="2"/>
            <c:bubble3D val="0"/>
            <c:extLst>
              <c:ext xmlns:c16="http://schemas.microsoft.com/office/drawing/2014/chart" uri="{C3380CC4-5D6E-409C-BE32-E72D297353CC}">
                <c16:uniqueId val="{00000002-9921-4AAC-9C8A-301FCFD4703C}"/>
              </c:ext>
            </c:extLst>
          </c:dPt>
          <c:dPt>
            <c:idx val="3"/>
            <c:bubble3D val="0"/>
            <c:extLst>
              <c:ext xmlns:c16="http://schemas.microsoft.com/office/drawing/2014/chart" uri="{C3380CC4-5D6E-409C-BE32-E72D297353CC}">
                <c16:uniqueId val="{00000003-9921-4AAC-9C8A-301FCFD4703C}"/>
              </c:ext>
            </c:extLst>
          </c:dPt>
          <c:dPt>
            <c:idx val="4"/>
            <c:bubble3D val="0"/>
            <c:extLst>
              <c:ext xmlns:c16="http://schemas.microsoft.com/office/drawing/2014/chart" uri="{C3380CC4-5D6E-409C-BE32-E72D297353CC}">
                <c16:uniqueId val="{00000004-9921-4AAC-9C8A-301FCFD4703C}"/>
              </c:ext>
            </c:extLst>
          </c:dPt>
          <c:dPt>
            <c:idx val="5"/>
            <c:bubble3D val="0"/>
            <c:extLst>
              <c:ext xmlns:c16="http://schemas.microsoft.com/office/drawing/2014/chart" uri="{C3380CC4-5D6E-409C-BE32-E72D297353CC}">
                <c16:uniqueId val="{00000005-9921-4AAC-9C8A-301FCFD4703C}"/>
              </c:ext>
            </c:extLst>
          </c:dPt>
          <c:dPt>
            <c:idx val="6"/>
            <c:bubble3D val="0"/>
            <c:extLst>
              <c:ext xmlns:c16="http://schemas.microsoft.com/office/drawing/2014/chart" uri="{C3380CC4-5D6E-409C-BE32-E72D297353CC}">
                <c16:uniqueId val="{00000006-9921-4AAC-9C8A-301FCFD4703C}"/>
              </c:ext>
            </c:extLst>
          </c:dPt>
          <c:dPt>
            <c:idx val="7"/>
            <c:bubble3D val="0"/>
            <c:extLst>
              <c:ext xmlns:c16="http://schemas.microsoft.com/office/drawing/2014/chart" uri="{C3380CC4-5D6E-409C-BE32-E72D297353CC}">
                <c16:uniqueId val="{00000007-9921-4AAC-9C8A-301FCFD4703C}"/>
              </c:ext>
            </c:extLst>
          </c:dPt>
          <c:dPt>
            <c:idx val="8"/>
            <c:bubble3D val="0"/>
            <c:extLst>
              <c:ext xmlns:c16="http://schemas.microsoft.com/office/drawing/2014/chart" uri="{C3380CC4-5D6E-409C-BE32-E72D297353CC}">
                <c16:uniqueId val="{00000008-9921-4AAC-9C8A-301FCFD4703C}"/>
              </c:ext>
            </c:extLst>
          </c:dPt>
          <c:dPt>
            <c:idx val="9"/>
            <c:bubble3D val="0"/>
            <c:extLst>
              <c:ext xmlns:c16="http://schemas.microsoft.com/office/drawing/2014/chart" uri="{C3380CC4-5D6E-409C-BE32-E72D297353CC}">
                <c16:uniqueId val="{00000009-9921-4AAC-9C8A-301FCFD4703C}"/>
              </c:ext>
            </c:extLst>
          </c:dPt>
          <c:dLbls>
            <c:dLbl>
              <c:idx val="0"/>
              <c:layout>
                <c:manualLayout>
                  <c:x val="-7.0671364983100884E-3"/>
                  <c:y val="-0.23529411764705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21-4AAC-9C8A-301FCFD4703C}"/>
                </c:ext>
              </c:extLst>
            </c:dLbl>
            <c:dLbl>
              <c:idx val="1"/>
              <c:layout>
                <c:manualLayout>
                  <c:x val="7.0671364983099132E-3"/>
                  <c:y val="-0.35294117647058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21-4AAC-9C8A-301FCFD470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by revenue'!$A$4:$A$9</c:f>
              <c:strCache>
                <c:ptCount val="5"/>
                <c:pt idx="0">
                  <c:v>Chicago</c:v>
                </c:pt>
                <c:pt idx="1">
                  <c:v>Memphis</c:v>
                </c:pt>
                <c:pt idx="2">
                  <c:v>Miami</c:v>
                </c:pt>
                <c:pt idx="3">
                  <c:v>Portland</c:v>
                </c:pt>
                <c:pt idx="4">
                  <c:v>New York</c:v>
                </c:pt>
              </c:strCache>
            </c:strRef>
          </c:cat>
          <c:val>
            <c:numRef>
              <c:f>'city by revenue'!$B$4:$B$9</c:f>
              <c:numCache>
                <c:formatCode>"$"#,##0.00</c:formatCode>
                <c:ptCount val="5"/>
                <c:pt idx="0">
                  <c:v>41095.01</c:v>
                </c:pt>
                <c:pt idx="1">
                  <c:v>43713</c:v>
                </c:pt>
                <c:pt idx="2">
                  <c:v>50145.330000000009</c:v>
                </c:pt>
                <c:pt idx="3">
                  <c:v>50208.35</c:v>
                </c:pt>
                <c:pt idx="4">
                  <c:v>67180.5</c:v>
                </c:pt>
              </c:numCache>
            </c:numRef>
          </c:val>
          <c:extLst>
            <c:ext xmlns:c16="http://schemas.microsoft.com/office/drawing/2014/chart" uri="{C3380CC4-5D6E-409C-BE32-E72D297353CC}">
              <c16:uniqueId val="{0000000A-9921-4AAC-9C8A-301FCFD4703C}"/>
            </c:ext>
          </c:extLst>
        </c:ser>
        <c:dLbls>
          <c:showLegendKey val="0"/>
          <c:showVal val="0"/>
          <c:showCatName val="0"/>
          <c:showSerName val="0"/>
          <c:showPercent val="0"/>
          <c:showBubbleSize val="0"/>
        </c:dLbls>
        <c:axId val="1725023376"/>
        <c:axId val="1725022288"/>
      </c:areaChart>
      <c:catAx>
        <c:axId val="1725023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22288"/>
        <c:crosses val="autoZero"/>
        <c:auto val="1"/>
        <c:lblAlgn val="ctr"/>
        <c:lblOffset val="100"/>
        <c:noMultiLvlLbl val="0"/>
      </c:catAx>
      <c:valAx>
        <c:axId val="172502228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725023376"/>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analysis.xlsx]transaction by amount!PivotTable1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Rounded MT Bold" panose="020F0704030504030204" pitchFamily="34" charset="0"/>
              </a:rPr>
              <a:t>Transaction</a:t>
            </a:r>
            <a:r>
              <a:rPr lang="en-US" sz="1100" baseline="0">
                <a:latin typeface="Arial Rounded MT Bold" panose="020F0704030504030204" pitchFamily="34" charset="0"/>
              </a:rPr>
              <a:t> By Amount</a:t>
            </a:r>
            <a:endParaRPr lang="en-US" sz="1100">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4AB9-4218-836C-29709C2D9159}"/>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4AB9-4218-836C-29709C2D9159}"/>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4AB9-4218-836C-29709C2D9159}"/>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4AB9-4218-836C-29709C2D9159}"/>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4AB9-4218-836C-29709C2D9159}"/>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4AB9-4218-836C-29709C2D9159}"/>
              </c:ext>
            </c:extLst>
          </c:dPt>
          <c:dPt>
            <c:idx val="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8-4AB9-4218-836C-29709C2D91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0-4AB9-4218-836C-29709C2D9159}"/>
            </c:ext>
          </c:extLst>
        </c:ser>
        <c:dLbls>
          <c:dLblPos val="outEnd"/>
          <c:showLegendKey val="0"/>
          <c:showVal val="1"/>
          <c:showCatName val="0"/>
          <c:showSerName val="0"/>
          <c:showPercent val="0"/>
          <c:showBubbleSize val="0"/>
        </c:dLbls>
        <c:gapWidth val="30"/>
        <c:overlap val="-27"/>
        <c:axId val="1410448047"/>
        <c:axId val="1410460527"/>
      </c:barChart>
      <c:catAx>
        <c:axId val="141044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60527"/>
        <c:crosses val="autoZero"/>
        <c:auto val="1"/>
        <c:lblAlgn val="ctr"/>
        <c:lblOffset val="100"/>
        <c:noMultiLvlLbl val="0"/>
      </c:catAx>
      <c:valAx>
        <c:axId val="1410460527"/>
        <c:scaling>
          <c:orientation val="minMax"/>
        </c:scaling>
        <c:delete val="1"/>
        <c:axPos val="l"/>
        <c:numFmt formatCode="General" sourceLinked="1"/>
        <c:majorTickMark val="out"/>
        <c:minorTickMark val="none"/>
        <c:tickLblPos val="nextTo"/>
        <c:crossAx val="1410448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rep!PivotTable1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rgbClr val="235733"/>
                </a:solidFill>
                <a:latin typeface="Arial Rounded MT Bold" panose="020F0704030504030204" pitchFamily="34" charset="0"/>
              </a:rPr>
              <a:t>Sales</a:t>
            </a:r>
            <a:r>
              <a:rPr lang="en-US" sz="3600" b="1" baseline="0">
                <a:solidFill>
                  <a:srgbClr val="235733"/>
                </a:solidFill>
                <a:latin typeface="Arial Rounded MT Bold" panose="020F0704030504030204" pitchFamily="34" charset="0"/>
              </a:rPr>
              <a:t>persons Outlook </a:t>
            </a:r>
            <a:r>
              <a:rPr lang="en-US" sz="1800" b="1" baseline="0">
                <a:solidFill>
                  <a:srgbClr val="235733"/>
                </a:solidFill>
                <a:latin typeface="Arial Rounded MT Bold" panose="020F0704030504030204" pitchFamily="34" charset="0"/>
              </a:rPr>
              <a:t>by Revenue</a:t>
            </a:r>
            <a:endParaRPr lang="en-US" sz="1800" b="1">
              <a:solidFill>
                <a:srgbClr val="235733"/>
              </a:solidFill>
              <a:latin typeface="Arial Rounded MT Bold" panose="020F0704030504030204" pitchFamily="34" charset="0"/>
            </a:endParaRPr>
          </a:p>
        </c:rich>
      </c:tx>
      <c:layout>
        <c:manualLayout>
          <c:xMode val="edge"/>
          <c:yMode val="edge"/>
          <c:x val="2.2226342326658387E-2"/>
          <c:y val="1.7873613519294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1"/>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75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1">
              <a:lumMod val="40000"/>
              <a:lumOff val="6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pivotFmt>
      <c:pivotFmt>
        <c:idx val="32"/>
        <c:spPr>
          <a:solidFill>
            <a:schemeClr val="accent1">
              <a:lumMod val="75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60000"/>
              <a:lumOff val="40000"/>
            </a:schemeClr>
          </a:solidFill>
          <a:ln>
            <a:noFill/>
          </a:ln>
          <a:effectLst/>
        </c:spPr>
      </c:pivotFmt>
      <c:pivotFmt>
        <c:idx val="36"/>
        <c:spPr>
          <a:solidFill>
            <a:schemeClr val="accent1">
              <a:lumMod val="40000"/>
              <a:lumOff val="60000"/>
            </a:schemeClr>
          </a:solidFill>
          <a:ln>
            <a:noFill/>
          </a:ln>
          <a:effectLst/>
        </c:spPr>
      </c:pivotFmt>
      <c:pivotFmt>
        <c:idx val="37"/>
        <c:spPr>
          <a:solidFill>
            <a:schemeClr val="accent1">
              <a:lumMod val="40000"/>
              <a:lumOff val="60000"/>
            </a:schemeClr>
          </a:solidFill>
          <a:ln>
            <a:noFill/>
          </a:ln>
          <a:effectLst/>
        </c:spPr>
      </c:pivotFmt>
      <c:pivotFmt>
        <c:idx val="38"/>
        <c:spPr>
          <a:solidFill>
            <a:schemeClr val="accent1">
              <a:lumMod val="20000"/>
              <a:lumOff val="80000"/>
            </a:schemeClr>
          </a:solidFill>
          <a:ln>
            <a:noFill/>
          </a:ln>
          <a:effectLst/>
        </c:spPr>
      </c:pivotFmt>
      <c:pivotFmt>
        <c:idx val="39"/>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235733"/>
          </a:solidFill>
          <a:ln>
            <a:noFill/>
          </a:ln>
          <a:effectLst/>
        </c:spPr>
        <c:dLbl>
          <c:idx val="0"/>
          <c:layout>
            <c:manualLayout>
              <c:x val="0"/>
              <c:y val="2.7716524851720409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2E6C4A"/>
          </a:solidFill>
          <a:ln>
            <a:noFill/>
          </a:ln>
          <a:effectLst/>
        </c:spPr>
      </c:pivotFmt>
      <c:pivotFmt>
        <c:idx val="42"/>
        <c:spPr>
          <a:solidFill>
            <a:srgbClr val="34804E"/>
          </a:solidFill>
          <a:ln>
            <a:noFill/>
          </a:ln>
          <a:effectLst/>
        </c:spPr>
      </c:pivotFmt>
      <c:pivotFmt>
        <c:idx val="43"/>
        <c:spPr>
          <a:solidFill>
            <a:srgbClr val="35834D"/>
          </a:solidFill>
          <a:ln>
            <a:noFill/>
          </a:ln>
          <a:effectLst/>
        </c:spPr>
      </c:pivotFmt>
      <c:pivotFmt>
        <c:idx val="44"/>
        <c:spPr>
          <a:solidFill>
            <a:srgbClr val="409E5D"/>
          </a:solidFill>
          <a:ln>
            <a:noFill/>
          </a:ln>
          <a:effectLst/>
        </c:spPr>
      </c:pivotFmt>
      <c:pivotFmt>
        <c:idx val="45"/>
        <c:spPr>
          <a:solidFill>
            <a:srgbClr val="58BD77"/>
          </a:solidFill>
          <a:ln>
            <a:noFill/>
          </a:ln>
          <a:effectLst/>
        </c:spPr>
      </c:pivotFmt>
      <c:pivotFmt>
        <c:idx val="46"/>
        <c:spPr>
          <a:solidFill>
            <a:srgbClr val="64C588"/>
          </a:solidFill>
          <a:ln>
            <a:noFill/>
          </a:ln>
          <a:effectLst/>
        </c:spPr>
      </c:pivotFmt>
      <c:pivotFmt>
        <c:idx val="47"/>
        <c:spPr>
          <a:solidFill>
            <a:srgbClr val="B5E1C3"/>
          </a:solidFill>
          <a:ln>
            <a:noFill/>
          </a:ln>
          <a:effectLst/>
        </c:spPr>
      </c:pivotFmt>
    </c:pivotFmts>
    <c:plotArea>
      <c:layout>
        <c:manualLayout>
          <c:layoutTarget val="inner"/>
          <c:xMode val="edge"/>
          <c:yMode val="edge"/>
          <c:x val="0.27340389391373826"/>
          <c:y val="0.16631681962203429"/>
          <c:w val="0.66543452847281237"/>
          <c:h val="0.81151868667521254"/>
        </c:manualLayout>
      </c:layout>
      <c:barChart>
        <c:barDir val="bar"/>
        <c:grouping val="clustered"/>
        <c:varyColors val="0"/>
        <c:ser>
          <c:idx val="0"/>
          <c:order val="0"/>
          <c:tx>
            <c:strRef>
              <c:f>'sales rep'!$B$3</c:f>
              <c:strCache>
                <c:ptCount val="1"/>
                <c:pt idx="0">
                  <c:v>Total</c:v>
                </c:pt>
              </c:strCache>
            </c:strRef>
          </c:tx>
          <c:spPr>
            <a:solidFill>
              <a:srgbClr val="385723"/>
            </a:solidFill>
            <a:ln>
              <a:noFill/>
            </a:ln>
            <a:effectLst/>
          </c:spPr>
          <c:invertIfNegative val="0"/>
          <c:dPt>
            <c:idx val="0"/>
            <c:invertIfNegative val="0"/>
            <c:bubble3D val="0"/>
            <c:spPr>
              <a:solidFill>
                <a:srgbClr val="235733"/>
              </a:solidFill>
              <a:ln>
                <a:noFill/>
              </a:ln>
              <a:effectLst/>
            </c:spPr>
            <c:extLst>
              <c:ext xmlns:c16="http://schemas.microsoft.com/office/drawing/2014/chart" uri="{C3380CC4-5D6E-409C-BE32-E72D297353CC}">
                <c16:uniqueId val="{00000001-1093-46AE-B6A5-04A3B9B9B0F9}"/>
              </c:ext>
            </c:extLst>
          </c:dPt>
          <c:dPt>
            <c:idx val="1"/>
            <c:invertIfNegative val="0"/>
            <c:bubble3D val="0"/>
            <c:spPr>
              <a:solidFill>
                <a:srgbClr val="2E6C4A"/>
              </a:solidFill>
              <a:ln>
                <a:noFill/>
              </a:ln>
              <a:effectLst/>
            </c:spPr>
            <c:extLst>
              <c:ext xmlns:c16="http://schemas.microsoft.com/office/drawing/2014/chart" uri="{C3380CC4-5D6E-409C-BE32-E72D297353CC}">
                <c16:uniqueId val="{00000003-1093-46AE-B6A5-04A3B9B9B0F9}"/>
              </c:ext>
            </c:extLst>
          </c:dPt>
          <c:dPt>
            <c:idx val="2"/>
            <c:invertIfNegative val="0"/>
            <c:bubble3D val="0"/>
            <c:spPr>
              <a:solidFill>
                <a:srgbClr val="34804E"/>
              </a:solidFill>
              <a:ln>
                <a:noFill/>
              </a:ln>
              <a:effectLst/>
            </c:spPr>
            <c:extLst>
              <c:ext xmlns:c16="http://schemas.microsoft.com/office/drawing/2014/chart" uri="{C3380CC4-5D6E-409C-BE32-E72D297353CC}">
                <c16:uniqueId val="{00000005-1093-46AE-B6A5-04A3B9B9B0F9}"/>
              </c:ext>
            </c:extLst>
          </c:dPt>
          <c:dPt>
            <c:idx val="3"/>
            <c:invertIfNegative val="0"/>
            <c:bubble3D val="0"/>
            <c:spPr>
              <a:solidFill>
                <a:srgbClr val="35834D"/>
              </a:solidFill>
              <a:ln>
                <a:noFill/>
              </a:ln>
              <a:effectLst/>
            </c:spPr>
            <c:extLst>
              <c:ext xmlns:c16="http://schemas.microsoft.com/office/drawing/2014/chart" uri="{C3380CC4-5D6E-409C-BE32-E72D297353CC}">
                <c16:uniqueId val="{00000007-1093-46AE-B6A5-04A3B9B9B0F9}"/>
              </c:ext>
            </c:extLst>
          </c:dPt>
          <c:dPt>
            <c:idx val="4"/>
            <c:invertIfNegative val="0"/>
            <c:bubble3D val="0"/>
            <c:spPr>
              <a:solidFill>
                <a:srgbClr val="409E5D"/>
              </a:solidFill>
              <a:ln>
                <a:noFill/>
              </a:ln>
              <a:effectLst/>
            </c:spPr>
            <c:extLst>
              <c:ext xmlns:c16="http://schemas.microsoft.com/office/drawing/2014/chart" uri="{C3380CC4-5D6E-409C-BE32-E72D297353CC}">
                <c16:uniqueId val="{00000009-1093-46AE-B6A5-04A3B9B9B0F9}"/>
              </c:ext>
            </c:extLst>
          </c:dPt>
          <c:dPt>
            <c:idx val="5"/>
            <c:invertIfNegative val="0"/>
            <c:bubble3D val="0"/>
            <c:spPr>
              <a:solidFill>
                <a:srgbClr val="58BD77"/>
              </a:solidFill>
              <a:ln>
                <a:noFill/>
              </a:ln>
              <a:effectLst/>
            </c:spPr>
            <c:extLst>
              <c:ext xmlns:c16="http://schemas.microsoft.com/office/drawing/2014/chart" uri="{C3380CC4-5D6E-409C-BE32-E72D297353CC}">
                <c16:uniqueId val="{0000000B-1093-46AE-B6A5-04A3B9B9B0F9}"/>
              </c:ext>
            </c:extLst>
          </c:dPt>
          <c:dPt>
            <c:idx val="6"/>
            <c:invertIfNegative val="0"/>
            <c:bubble3D val="0"/>
            <c:spPr>
              <a:solidFill>
                <a:srgbClr val="64C588"/>
              </a:solidFill>
              <a:ln>
                <a:noFill/>
              </a:ln>
              <a:effectLst/>
            </c:spPr>
            <c:extLst>
              <c:ext xmlns:c16="http://schemas.microsoft.com/office/drawing/2014/chart" uri="{C3380CC4-5D6E-409C-BE32-E72D297353CC}">
                <c16:uniqueId val="{0000000D-1093-46AE-B6A5-04A3B9B9B0F9}"/>
              </c:ext>
            </c:extLst>
          </c:dPt>
          <c:dPt>
            <c:idx val="7"/>
            <c:invertIfNegative val="0"/>
            <c:bubble3D val="0"/>
            <c:spPr>
              <a:solidFill>
                <a:srgbClr val="B5E1C3"/>
              </a:solidFill>
              <a:ln>
                <a:noFill/>
              </a:ln>
              <a:effectLst/>
            </c:spPr>
            <c:extLst>
              <c:ext xmlns:c16="http://schemas.microsoft.com/office/drawing/2014/chart" uri="{C3380CC4-5D6E-409C-BE32-E72D297353CC}">
                <c16:uniqueId val="{0000000F-1093-46AE-B6A5-04A3B9B9B0F9}"/>
              </c:ext>
            </c:extLst>
          </c:dPt>
          <c:dPt>
            <c:idx val="8"/>
            <c:invertIfNegative val="0"/>
            <c:bubble3D val="0"/>
            <c:extLst>
              <c:ext xmlns:c16="http://schemas.microsoft.com/office/drawing/2014/chart" uri="{C3380CC4-5D6E-409C-BE32-E72D297353CC}">
                <c16:uniqueId val="{00000010-1093-46AE-B6A5-04A3B9B9B0F9}"/>
              </c:ext>
            </c:extLst>
          </c:dPt>
          <c:dPt>
            <c:idx val="9"/>
            <c:invertIfNegative val="0"/>
            <c:bubble3D val="0"/>
            <c:extLst>
              <c:ext xmlns:c16="http://schemas.microsoft.com/office/drawing/2014/chart" uri="{C3380CC4-5D6E-409C-BE32-E72D297353CC}">
                <c16:uniqueId val="{00000011-1093-46AE-B6A5-04A3B9B9B0F9}"/>
              </c:ext>
            </c:extLst>
          </c:dPt>
          <c:dLbls>
            <c:dLbl>
              <c:idx val="0"/>
              <c:layout>
                <c:manualLayout>
                  <c:x val="0"/>
                  <c:y val="2.77165248517204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93-46AE-B6A5-04A3B9B9B0F9}"/>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rep'!$B$4:$B$12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2-1093-46AE-B6A5-04A3B9B9B0F9}"/>
            </c:ext>
          </c:extLst>
        </c:ser>
        <c:dLbls>
          <c:dLblPos val="outEnd"/>
          <c:showLegendKey val="0"/>
          <c:showVal val="1"/>
          <c:showCatName val="0"/>
          <c:showSerName val="0"/>
          <c:showPercent val="0"/>
          <c:showBubbleSize val="0"/>
        </c:dLbls>
        <c:gapWidth val="29"/>
        <c:axId val="1630115472"/>
        <c:axId val="1630117104"/>
      </c:barChart>
      <c:catAx>
        <c:axId val="163011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630117104"/>
        <c:crosses val="autoZero"/>
        <c:auto val="1"/>
        <c:lblAlgn val="ctr"/>
        <c:lblOffset val="100"/>
        <c:noMultiLvlLbl val="0"/>
      </c:catAx>
      <c:valAx>
        <c:axId val="1630117104"/>
        <c:scaling>
          <c:orientation val="minMax"/>
        </c:scaling>
        <c:delete val="1"/>
        <c:axPos val="t"/>
        <c:numFmt formatCode="&quot;$&quot;#,##0.00" sourceLinked="1"/>
        <c:majorTickMark val="none"/>
        <c:minorTickMark val="none"/>
        <c:tickLblPos val="nextTo"/>
        <c:crossAx val="1630115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25" r="0.25" t="0.75" header="0.3" footer="0.3"/>
    <c:pageSetup paperSize="8" orientation="landscape"/>
  </c:printSettings>
  <c:extLst>
    <c:ext xmlns:c14="http://schemas.microsoft.com/office/drawing/2007/8/2/chart" uri="{781A3756-C4B2-4CAC-9D66-4F8BD8637D16}">
      <c14:pivotOptions>
        <c14:dropZoneFilter val="1"/>
        <c14:dropZoneCatego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by region!PivotTable1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rgbClr val="235733"/>
                </a:solidFill>
                <a:latin typeface="Arial Rounded MT Bold" panose="020F0704030504030204" pitchFamily="34" charset="0"/>
              </a:rPr>
              <a:t>Regional</a:t>
            </a:r>
            <a:r>
              <a:rPr lang="en-US" sz="3600" b="1" baseline="0">
                <a:solidFill>
                  <a:srgbClr val="235733"/>
                </a:solidFill>
                <a:latin typeface="Arial Rounded MT Bold" panose="020F0704030504030204" pitchFamily="34" charset="0"/>
              </a:rPr>
              <a:t> Performance </a:t>
            </a:r>
            <a:r>
              <a:rPr lang="en-US" sz="1800" b="1" baseline="0">
                <a:solidFill>
                  <a:srgbClr val="235733"/>
                </a:solidFill>
                <a:latin typeface="Arial Rounded MT Bold" panose="020F0704030504030204" pitchFamily="34" charset="0"/>
              </a:rPr>
              <a:t>by Revenue</a:t>
            </a:r>
            <a:endParaRPr lang="en-US" sz="1800" b="1">
              <a:solidFill>
                <a:srgbClr val="235733"/>
              </a:solidFill>
              <a:latin typeface="Arial Rounded MT Bold" panose="020F0704030504030204" pitchFamily="34" charset="0"/>
            </a:endParaRPr>
          </a:p>
        </c:rich>
      </c:tx>
      <c:layout>
        <c:manualLayout>
          <c:xMode val="edge"/>
          <c:yMode val="edge"/>
          <c:x val="1.5412690198670899E-2"/>
          <c:y val="2.62553778715804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1"/>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75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1">
              <a:lumMod val="40000"/>
              <a:lumOff val="6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pivotFmt>
      <c:pivotFmt>
        <c:idx val="32"/>
        <c:spPr>
          <a:solidFill>
            <a:schemeClr val="accent1">
              <a:lumMod val="75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60000"/>
              <a:lumOff val="40000"/>
            </a:schemeClr>
          </a:solidFill>
          <a:ln>
            <a:noFill/>
          </a:ln>
          <a:effectLst/>
        </c:spPr>
      </c:pivotFmt>
      <c:pivotFmt>
        <c:idx val="36"/>
        <c:spPr>
          <a:solidFill>
            <a:schemeClr val="accent1">
              <a:lumMod val="40000"/>
              <a:lumOff val="60000"/>
            </a:schemeClr>
          </a:solidFill>
          <a:ln>
            <a:noFill/>
          </a:ln>
          <a:effectLst/>
        </c:spPr>
      </c:pivotFmt>
      <c:pivotFmt>
        <c:idx val="37"/>
        <c:spPr>
          <a:solidFill>
            <a:schemeClr val="accent1">
              <a:lumMod val="40000"/>
              <a:lumOff val="60000"/>
            </a:schemeClr>
          </a:solidFill>
          <a:ln>
            <a:noFill/>
          </a:ln>
          <a:effectLst/>
        </c:spPr>
      </c:pivotFmt>
      <c:pivotFmt>
        <c:idx val="38"/>
        <c:spPr>
          <a:solidFill>
            <a:schemeClr val="accent1">
              <a:lumMod val="20000"/>
              <a:lumOff val="80000"/>
            </a:schemeClr>
          </a:solidFill>
          <a:ln>
            <a:noFill/>
          </a:ln>
          <a:effectLst/>
        </c:spPr>
      </c:pivotFmt>
      <c:pivotFmt>
        <c:idx val="39"/>
        <c:spPr>
          <a:solidFill>
            <a:schemeClr val="accent1">
              <a:lumMod val="50000"/>
            </a:schemeClr>
          </a:solidFill>
          <a:ln>
            <a:noFill/>
          </a:ln>
          <a:effectLst/>
        </c:spPr>
      </c:pivotFmt>
      <c:pivotFmt>
        <c:idx val="40"/>
        <c:spPr>
          <a:solidFill>
            <a:schemeClr val="accent1">
              <a:lumMod val="75000"/>
            </a:schemeClr>
          </a:solidFill>
          <a:ln>
            <a:noFill/>
          </a:ln>
          <a:effectLst/>
        </c:spPr>
      </c:pivotFmt>
      <c:pivotFmt>
        <c:idx val="41"/>
        <c:spPr>
          <a:solidFill>
            <a:schemeClr val="accent1">
              <a:lumMod val="60000"/>
              <a:lumOff val="40000"/>
            </a:schemeClr>
          </a:solidFill>
          <a:ln>
            <a:noFill/>
          </a:ln>
          <a:effectLst/>
        </c:spPr>
      </c:pivotFmt>
      <c:pivotFmt>
        <c:idx val="42"/>
        <c:spPr>
          <a:solidFill>
            <a:schemeClr val="accent1">
              <a:lumMod val="20000"/>
              <a:lumOff val="8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lumMod val="50000"/>
            </a:schemeClr>
          </a:solidFill>
          <a:ln>
            <a:noFill/>
          </a:ln>
          <a:effectLst/>
        </c:spPr>
      </c:pivotFmt>
      <c:pivotFmt>
        <c:idx val="45"/>
        <c:spPr>
          <a:solidFill>
            <a:schemeClr val="accent1">
              <a:lumMod val="75000"/>
            </a:schemeClr>
          </a:solidFill>
          <a:ln>
            <a:noFill/>
          </a:ln>
          <a:effectLst/>
        </c:spPr>
      </c:pivotFmt>
      <c:pivotFmt>
        <c:idx val="46"/>
        <c:spPr>
          <a:solidFill>
            <a:schemeClr val="accent1">
              <a:lumMod val="60000"/>
              <a:lumOff val="40000"/>
            </a:schemeClr>
          </a:solidFill>
          <a:ln>
            <a:noFill/>
          </a:ln>
          <a:effectLst/>
        </c:spPr>
      </c:pivotFmt>
      <c:pivotFmt>
        <c:idx val="47"/>
        <c:spPr>
          <a:solidFill>
            <a:schemeClr val="accent1">
              <a:lumMod val="20000"/>
              <a:lumOff val="80000"/>
            </a:schemeClr>
          </a:solidFill>
          <a:ln>
            <a:noFill/>
          </a:ln>
          <a:effectLst/>
        </c:spPr>
      </c:pivotFmt>
      <c:pivotFmt>
        <c:idx val="48"/>
        <c:spPr>
          <a:solidFill>
            <a:srgbClr val="2357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9"/>
        <c:spPr>
          <a:solidFill>
            <a:srgbClr val="235733"/>
          </a:solidFill>
          <a:ln>
            <a:noFill/>
          </a:ln>
          <a:effectLst/>
        </c:spPr>
        <c:dLbl>
          <c:idx val="0"/>
          <c:layout>
            <c:manualLayout>
              <c:x val="1.6999673813607511E-2"/>
              <c:y val="4.9468950401818326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0"/>
        <c:spPr>
          <a:solidFill>
            <a:srgbClr val="34804E"/>
          </a:solidFill>
          <a:ln>
            <a:noFill/>
          </a:ln>
          <a:effectLst/>
        </c:spPr>
        <c:dLbl>
          <c:idx val="0"/>
          <c:layout>
            <c:manualLayout>
              <c:x val="5.6643593206016613E-2"/>
              <c:y val="-1.7649484536082574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1"/>
        <c:spPr>
          <a:solidFill>
            <a:srgbClr val="58BD77"/>
          </a:solidFill>
          <a:ln>
            <a:noFill/>
          </a:ln>
          <a:effectLst/>
        </c:spPr>
        <c:dLbl>
          <c:idx val="0"/>
          <c:layout>
            <c:manualLayout>
              <c:x val="-1.4099883764107212E-2"/>
              <c:y val="-5.3634440024893794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2"/>
        <c:spPr>
          <a:solidFill>
            <a:srgbClr val="B5E1C3"/>
          </a:solidFill>
          <a:ln>
            <a:noFill/>
          </a:ln>
          <a:effectLst/>
        </c:spPr>
        <c:dLbl>
          <c:idx val="0"/>
          <c:layout>
            <c:manualLayout>
              <c:x val="-2.2130944060662294E-2"/>
              <c:y val="5.9004356414211111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spPr>
            <a:solidFill>
              <a:srgbClr val="235733"/>
            </a:solidFill>
          </c:spPr>
          <c:dPt>
            <c:idx val="0"/>
            <c:bubble3D val="0"/>
            <c:spPr>
              <a:solidFill>
                <a:srgbClr val="235733"/>
              </a:solidFill>
              <a:ln>
                <a:noFill/>
              </a:ln>
              <a:effectLst/>
            </c:spPr>
            <c:extLst>
              <c:ext xmlns:c16="http://schemas.microsoft.com/office/drawing/2014/chart" uri="{C3380CC4-5D6E-409C-BE32-E72D297353CC}">
                <c16:uniqueId val="{00000001-DA44-4BBD-BA7D-664B5AF1DE53}"/>
              </c:ext>
            </c:extLst>
          </c:dPt>
          <c:dPt>
            <c:idx val="1"/>
            <c:bubble3D val="0"/>
            <c:spPr>
              <a:solidFill>
                <a:srgbClr val="34804E"/>
              </a:solidFill>
              <a:ln>
                <a:noFill/>
              </a:ln>
              <a:effectLst/>
            </c:spPr>
            <c:extLst>
              <c:ext xmlns:c16="http://schemas.microsoft.com/office/drawing/2014/chart" uri="{C3380CC4-5D6E-409C-BE32-E72D297353CC}">
                <c16:uniqueId val="{00000003-DA44-4BBD-BA7D-664B5AF1DE53}"/>
              </c:ext>
            </c:extLst>
          </c:dPt>
          <c:dPt>
            <c:idx val="2"/>
            <c:bubble3D val="0"/>
            <c:spPr>
              <a:solidFill>
                <a:srgbClr val="58BD77"/>
              </a:solidFill>
              <a:ln>
                <a:noFill/>
              </a:ln>
              <a:effectLst/>
            </c:spPr>
            <c:extLst>
              <c:ext xmlns:c16="http://schemas.microsoft.com/office/drawing/2014/chart" uri="{C3380CC4-5D6E-409C-BE32-E72D297353CC}">
                <c16:uniqueId val="{00000005-DA44-4BBD-BA7D-664B5AF1DE53}"/>
              </c:ext>
            </c:extLst>
          </c:dPt>
          <c:dPt>
            <c:idx val="3"/>
            <c:bubble3D val="0"/>
            <c:spPr>
              <a:solidFill>
                <a:srgbClr val="B5E1C3"/>
              </a:solidFill>
              <a:ln>
                <a:noFill/>
              </a:ln>
              <a:effectLst/>
            </c:spPr>
            <c:extLst>
              <c:ext xmlns:c16="http://schemas.microsoft.com/office/drawing/2014/chart" uri="{C3380CC4-5D6E-409C-BE32-E72D297353CC}">
                <c16:uniqueId val="{00000007-DA44-4BBD-BA7D-664B5AF1DE53}"/>
              </c:ext>
            </c:extLst>
          </c:dPt>
          <c:dPt>
            <c:idx val="4"/>
            <c:bubble3D val="0"/>
            <c:spPr>
              <a:solidFill>
                <a:srgbClr val="235733"/>
              </a:solidFill>
              <a:ln>
                <a:noFill/>
              </a:ln>
              <a:effectLst/>
            </c:spPr>
            <c:extLst>
              <c:ext xmlns:c16="http://schemas.microsoft.com/office/drawing/2014/chart" uri="{C3380CC4-5D6E-409C-BE32-E72D297353CC}">
                <c16:uniqueId val="{00000009-DA44-4BBD-BA7D-664B5AF1DE53}"/>
              </c:ext>
            </c:extLst>
          </c:dPt>
          <c:dPt>
            <c:idx val="5"/>
            <c:bubble3D val="0"/>
            <c:spPr>
              <a:solidFill>
                <a:srgbClr val="235733"/>
              </a:solidFill>
              <a:ln>
                <a:noFill/>
              </a:ln>
              <a:effectLst/>
            </c:spPr>
            <c:extLst>
              <c:ext xmlns:c16="http://schemas.microsoft.com/office/drawing/2014/chart" uri="{C3380CC4-5D6E-409C-BE32-E72D297353CC}">
                <c16:uniqueId val="{0000000B-DA44-4BBD-BA7D-664B5AF1DE53}"/>
              </c:ext>
            </c:extLst>
          </c:dPt>
          <c:dPt>
            <c:idx val="6"/>
            <c:bubble3D val="0"/>
            <c:spPr>
              <a:solidFill>
                <a:srgbClr val="235733"/>
              </a:solidFill>
              <a:ln>
                <a:noFill/>
              </a:ln>
              <a:effectLst/>
            </c:spPr>
            <c:extLst>
              <c:ext xmlns:c16="http://schemas.microsoft.com/office/drawing/2014/chart" uri="{C3380CC4-5D6E-409C-BE32-E72D297353CC}">
                <c16:uniqueId val="{0000000D-DA44-4BBD-BA7D-664B5AF1DE53}"/>
              </c:ext>
            </c:extLst>
          </c:dPt>
          <c:dPt>
            <c:idx val="7"/>
            <c:bubble3D val="0"/>
            <c:spPr>
              <a:solidFill>
                <a:srgbClr val="235733"/>
              </a:solidFill>
              <a:ln>
                <a:noFill/>
              </a:ln>
              <a:effectLst/>
            </c:spPr>
            <c:extLst>
              <c:ext xmlns:c16="http://schemas.microsoft.com/office/drawing/2014/chart" uri="{C3380CC4-5D6E-409C-BE32-E72D297353CC}">
                <c16:uniqueId val="{0000000F-DA44-4BBD-BA7D-664B5AF1DE53}"/>
              </c:ext>
            </c:extLst>
          </c:dPt>
          <c:dPt>
            <c:idx val="8"/>
            <c:bubble3D val="0"/>
            <c:spPr>
              <a:solidFill>
                <a:srgbClr val="235733"/>
              </a:solidFill>
              <a:ln>
                <a:noFill/>
              </a:ln>
              <a:effectLst/>
            </c:spPr>
            <c:extLst>
              <c:ext xmlns:c16="http://schemas.microsoft.com/office/drawing/2014/chart" uri="{C3380CC4-5D6E-409C-BE32-E72D297353CC}">
                <c16:uniqueId val="{00000011-DA44-4BBD-BA7D-664B5AF1DE53}"/>
              </c:ext>
            </c:extLst>
          </c:dPt>
          <c:dPt>
            <c:idx val="9"/>
            <c:bubble3D val="0"/>
            <c:spPr>
              <a:solidFill>
                <a:srgbClr val="235733"/>
              </a:solidFill>
              <a:ln>
                <a:noFill/>
              </a:ln>
              <a:effectLst/>
            </c:spPr>
            <c:extLst>
              <c:ext xmlns:c16="http://schemas.microsoft.com/office/drawing/2014/chart" uri="{C3380CC4-5D6E-409C-BE32-E72D297353CC}">
                <c16:uniqueId val="{00000013-DA44-4BBD-BA7D-664B5AF1DE53}"/>
              </c:ext>
            </c:extLst>
          </c:dPt>
          <c:dLbls>
            <c:dLbl>
              <c:idx val="0"/>
              <c:layout>
                <c:manualLayout>
                  <c:x val="1.6999673813607511E-2"/>
                  <c:y val="4.946895040181832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A44-4BBD-BA7D-664B5AF1DE53}"/>
                </c:ext>
              </c:extLst>
            </c:dLbl>
            <c:dLbl>
              <c:idx val="1"/>
              <c:layout>
                <c:manualLayout>
                  <c:x val="5.6643593206016613E-2"/>
                  <c:y val="-1.764948453608257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A44-4BBD-BA7D-664B5AF1DE53}"/>
                </c:ext>
              </c:extLst>
            </c:dLbl>
            <c:dLbl>
              <c:idx val="2"/>
              <c:layout>
                <c:manualLayout>
                  <c:x val="-1.4099883764107212E-2"/>
                  <c:y val="-5.363444002489379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A44-4BBD-BA7D-664B5AF1DE53}"/>
                </c:ext>
              </c:extLst>
            </c:dLbl>
            <c:dLbl>
              <c:idx val="3"/>
              <c:layout>
                <c:manualLayout>
                  <c:x val="-2.2130944060662294E-2"/>
                  <c:y val="5.900435641421111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DA44-4BBD-BA7D-664B5AF1DE53}"/>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4-DA44-4BBD-BA7D-664B5AF1DE5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by category!PivotTable1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rgbClr val="235733"/>
                </a:solidFill>
                <a:latin typeface="Arial Rounded MT Bold" panose="020F0704030504030204" pitchFamily="34" charset="0"/>
              </a:rPr>
              <a:t>Product</a:t>
            </a:r>
            <a:r>
              <a:rPr lang="en-US" sz="3600" b="1" baseline="0">
                <a:solidFill>
                  <a:srgbClr val="235733"/>
                </a:solidFill>
                <a:latin typeface="Arial Rounded MT Bold" panose="020F0704030504030204" pitchFamily="34" charset="0"/>
              </a:rPr>
              <a:t> Category </a:t>
            </a:r>
            <a:r>
              <a:rPr lang="en-US" sz="1800" b="1" i="1" baseline="0">
                <a:solidFill>
                  <a:srgbClr val="235733"/>
                </a:solidFill>
                <a:latin typeface="Arial Rounded MT Bold" panose="020F0704030504030204" pitchFamily="34" charset="0"/>
              </a:rPr>
              <a:t>by Revenue Generated</a:t>
            </a:r>
            <a:endParaRPr lang="en-US" sz="1800" b="1" i="1">
              <a:solidFill>
                <a:srgbClr val="235733"/>
              </a:solidFill>
              <a:latin typeface="Arial Rounded MT Bold" panose="020F0704030504030204" pitchFamily="34" charset="0"/>
            </a:endParaRPr>
          </a:p>
        </c:rich>
      </c:tx>
      <c:layout>
        <c:manualLayout>
          <c:xMode val="edge"/>
          <c:yMode val="edge"/>
          <c:x val="1.8504759194257321E-2"/>
          <c:y val="2.7223942978691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1">
              <a:lumMod val="60000"/>
              <a:lumOff val="4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1"/>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40000"/>
              <a:lumOff val="60000"/>
            </a:schemeClr>
          </a:solidFill>
          <a:ln>
            <a:noFill/>
          </a:ln>
          <a:effectLst/>
        </c:spPr>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75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1">
              <a:lumMod val="40000"/>
              <a:lumOff val="6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pivotFmt>
      <c:pivotFmt>
        <c:idx val="32"/>
        <c:spPr>
          <a:solidFill>
            <a:schemeClr val="accent1">
              <a:lumMod val="75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60000"/>
              <a:lumOff val="40000"/>
            </a:schemeClr>
          </a:solidFill>
          <a:ln>
            <a:noFill/>
          </a:ln>
          <a:effectLst/>
        </c:spPr>
      </c:pivotFmt>
      <c:pivotFmt>
        <c:idx val="36"/>
        <c:spPr>
          <a:solidFill>
            <a:schemeClr val="accent1">
              <a:lumMod val="40000"/>
              <a:lumOff val="60000"/>
            </a:schemeClr>
          </a:solidFill>
          <a:ln>
            <a:noFill/>
          </a:ln>
          <a:effectLst/>
        </c:spPr>
      </c:pivotFmt>
      <c:pivotFmt>
        <c:idx val="37"/>
        <c:spPr>
          <a:solidFill>
            <a:schemeClr val="accent1">
              <a:lumMod val="40000"/>
              <a:lumOff val="60000"/>
            </a:schemeClr>
          </a:solidFill>
          <a:ln>
            <a:noFill/>
          </a:ln>
          <a:effectLst/>
        </c:spPr>
      </c:pivotFmt>
      <c:pivotFmt>
        <c:idx val="38"/>
        <c:spPr>
          <a:solidFill>
            <a:schemeClr val="accent1">
              <a:lumMod val="20000"/>
              <a:lumOff val="80000"/>
            </a:schemeClr>
          </a:solidFill>
          <a:ln>
            <a:noFill/>
          </a:ln>
          <a:effectLst/>
        </c:spPr>
      </c:pivotFmt>
      <c:pivotFmt>
        <c:idx val="3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lumMod val="50000"/>
            </a:schemeClr>
          </a:solidFill>
          <a:ln>
            <a:noFill/>
          </a:ln>
          <a:effectLst/>
        </c:spPr>
      </c:pivotFmt>
      <c:pivotFmt>
        <c:idx val="41"/>
        <c:spPr>
          <a:solidFill>
            <a:schemeClr val="accent1">
              <a:lumMod val="75000"/>
            </a:schemeClr>
          </a:solidFill>
          <a:ln>
            <a:noFill/>
          </a:ln>
          <a:effectLst/>
        </c:spPr>
      </c:pivotFmt>
      <c:pivotFmt>
        <c:idx val="42"/>
        <c:spPr>
          <a:solidFill>
            <a:schemeClr val="accent1">
              <a:lumMod val="60000"/>
              <a:lumOff val="40000"/>
            </a:schemeClr>
          </a:solidFill>
          <a:ln>
            <a:noFill/>
          </a:ln>
          <a:effectLst/>
        </c:spPr>
      </c:pivotFmt>
      <c:pivotFmt>
        <c:idx val="43"/>
        <c:spPr>
          <a:solidFill>
            <a:schemeClr val="accent1">
              <a:lumMod val="40000"/>
              <a:lumOff val="60000"/>
            </a:schemeClr>
          </a:solidFill>
          <a:ln>
            <a:noFill/>
          </a:ln>
          <a:effectLst/>
        </c:spPr>
      </c:pivotFmt>
      <c:pivotFmt>
        <c:idx val="44"/>
        <c:spPr>
          <a:solidFill>
            <a:schemeClr val="accent1">
              <a:lumMod val="20000"/>
              <a:lumOff val="80000"/>
            </a:schemeClr>
          </a:solidFill>
          <a:ln>
            <a:noFill/>
          </a:ln>
          <a:effectLst/>
        </c:spPr>
      </c:pivotFmt>
      <c:pivotFmt>
        <c:idx val="4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lumMod val="50000"/>
            </a:schemeClr>
          </a:solidFill>
          <a:ln>
            <a:noFill/>
          </a:ln>
          <a:effectLst/>
        </c:spPr>
      </c:pivotFmt>
      <c:pivotFmt>
        <c:idx val="47"/>
        <c:spPr>
          <a:solidFill>
            <a:schemeClr val="accent1">
              <a:lumMod val="60000"/>
              <a:lumOff val="40000"/>
            </a:schemeClr>
          </a:solidFill>
          <a:ln>
            <a:noFill/>
          </a:ln>
          <a:effectLst/>
        </c:spPr>
      </c:pivotFmt>
      <c:pivotFmt>
        <c:idx val="48"/>
        <c:spPr>
          <a:solidFill>
            <a:schemeClr val="accent1">
              <a:lumMod val="40000"/>
              <a:lumOff val="60000"/>
            </a:schemeClr>
          </a:solidFill>
          <a:ln>
            <a:noFill/>
          </a:ln>
          <a:effectLst/>
        </c:spPr>
      </c:pivotFmt>
      <c:pivotFmt>
        <c:idx val="49"/>
        <c:spPr>
          <a:solidFill>
            <a:schemeClr val="accent1">
              <a:lumMod val="20000"/>
              <a:lumOff val="80000"/>
            </a:schemeClr>
          </a:solidFill>
          <a:ln>
            <a:noFill/>
          </a:ln>
          <a:effectLst/>
        </c:spPr>
      </c:pivotFmt>
      <c:pivotFmt>
        <c:idx val="50"/>
        <c:spPr>
          <a:solidFill>
            <a:srgbClr val="2357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235733"/>
          </a:solidFill>
          <a:ln>
            <a:noFill/>
          </a:ln>
          <a:effectLst/>
        </c:spPr>
      </c:pivotFmt>
      <c:pivotFmt>
        <c:idx val="52"/>
        <c:spPr>
          <a:solidFill>
            <a:srgbClr val="235733"/>
          </a:solidFill>
          <a:ln>
            <a:noFill/>
          </a:ln>
          <a:effectLst/>
        </c:spPr>
      </c:pivotFmt>
      <c:pivotFmt>
        <c:idx val="53"/>
        <c:spPr>
          <a:solidFill>
            <a:srgbClr val="235733"/>
          </a:solidFill>
          <a:ln>
            <a:noFill/>
          </a:ln>
          <a:effectLst/>
        </c:spPr>
      </c:pivotFmt>
      <c:pivotFmt>
        <c:idx val="54"/>
        <c:spPr>
          <a:solidFill>
            <a:srgbClr val="235733"/>
          </a:solidFill>
          <a:ln>
            <a:noFill/>
          </a:ln>
          <a:effectLst/>
        </c:spPr>
      </c:pivotFmt>
    </c:pivotFmts>
    <c:plotArea>
      <c:layout>
        <c:manualLayout>
          <c:layoutTarget val="inner"/>
          <c:xMode val="edge"/>
          <c:yMode val="edge"/>
          <c:x val="0.13051628492691078"/>
          <c:y val="0.18297689893045466"/>
          <c:w val="0.7078750774166328"/>
          <c:h val="0.68733330310651042"/>
        </c:manualLayout>
      </c:layout>
      <c:barChart>
        <c:barDir val="col"/>
        <c:grouping val="clustered"/>
        <c:varyColors val="0"/>
        <c:ser>
          <c:idx val="0"/>
          <c:order val="0"/>
          <c:tx>
            <c:strRef>
              <c:f>'sales by category'!$B$3</c:f>
              <c:strCache>
                <c:ptCount val="1"/>
                <c:pt idx="0">
                  <c:v>Total</c:v>
                </c:pt>
              </c:strCache>
            </c:strRef>
          </c:tx>
          <c:spPr>
            <a:solidFill>
              <a:srgbClr val="235733"/>
            </a:solidFill>
            <a:ln>
              <a:noFill/>
            </a:ln>
            <a:effectLst/>
          </c:spPr>
          <c:invertIfNegative val="0"/>
          <c:dPt>
            <c:idx val="0"/>
            <c:invertIfNegative val="0"/>
            <c:bubble3D val="0"/>
            <c:spPr>
              <a:solidFill>
                <a:srgbClr val="235733"/>
              </a:solidFill>
              <a:ln>
                <a:noFill/>
              </a:ln>
              <a:effectLst/>
            </c:spPr>
            <c:extLst>
              <c:ext xmlns:c16="http://schemas.microsoft.com/office/drawing/2014/chart" uri="{C3380CC4-5D6E-409C-BE32-E72D297353CC}">
                <c16:uniqueId val="{00000001-F32F-4FC9-A740-1B2848D75AF6}"/>
              </c:ext>
            </c:extLst>
          </c:dPt>
          <c:dPt>
            <c:idx val="1"/>
            <c:invertIfNegative val="0"/>
            <c:bubble3D val="0"/>
            <c:extLst>
              <c:ext xmlns:c16="http://schemas.microsoft.com/office/drawing/2014/chart" uri="{C3380CC4-5D6E-409C-BE32-E72D297353CC}">
                <c16:uniqueId val="{00000002-F32F-4FC9-A740-1B2848D75AF6}"/>
              </c:ext>
            </c:extLst>
          </c:dPt>
          <c:dPt>
            <c:idx val="2"/>
            <c:invertIfNegative val="0"/>
            <c:bubble3D val="0"/>
            <c:spPr>
              <a:solidFill>
                <a:srgbClr val="235733"/>
              </a:solidFill>
              <a:ln>
                <a:noFill/>
              </a:ln>
              <a:effectLst/>
            </c:spPr>
            <c:extLst>
              <c:ext xmlns:c16="http://schemas.microsoft.com/office/drawing/2014/chart" uri="{C3380CC4-5D6E-409C-BE32-E72D297353CC}">
                <c16:uniqueId val="{00000004-F32F-4FC9-A740-1B2848D75AF6}"/>
              </c:ext>
            </c:extLst>
          </c:dPt>
          <c:dPt>
            <c:idx val="3"/>
            <c:invertIfNegative val="0"/>
            <c:bubble3D val="0"/>
            <c:spPr>
              <a:solidFill>
                <a:srgbClr val="235733"/>
              </a:solidFill>
              <a:ln>
                <a:noFill/>
              </a:ln>
              <a:effectLst/>
            </c:spPr>
            <c:extLst>
              <c:ext xmlns:c16="http://schemas.microsoft.com/office/drawing/2014/chart" uri="{C3380CC4-5D6E-409C-BE32-E72D297353CC}">
                <c16:uniqueId val="{00000006-F32F-4FC9-A740-1B2848D75AF6}"/>
              </c:ext>
            </c:extLst>
          </c:dPt>
          <c:dPt>
            <c:idx val="4"/>
            <c:invertIfNegative val="0"/>
            <c:bubble3D val="0"/>
            <c:spPr>
              <a:solidFill>
                <a:srgbClr val="235733"/>
              </a:solidFill>
              <a:ln>
                <a:noFill/>
              </a:ln>
              <a:effectLst/>
            </c:spPr>
            <c:extLst>
              <c:ext xmlns:c16="http://schemas.microsoft.com/office/drawing/2014/chart" uri="{C3380CC4-5D6E-409C-BE32-E72D297353CC}">
                <c16:uniqueId val="{00000008-F32F-4FC9-A740-1B2848D75AF6}"/>
              </c:ext>
            </c:extLst>
          </c:dPt>
          <c:dPt>
            <c:idx val="5"/>
            <c:invertIfNegative val="0"/>
            <c:bubble3D val="0"/>
            <c:extLst>
              <c:ext xmlns:c16="http://schemas.microsoft.com/office/drawing/2014/chart" uri="{C3380CC4-5D6E-409C-BE32-E72D297353CC}">
                <c16:uniqueId val="{00000009-F32F-4FC9-A740-1B2848D75AF6}"/>
              </c:ext>
            </c:extLst>
          </c:dPt>
          <c:dPt>
            <c:idx val="6"/>
            <c:invertIfNegative val="0"/>
            <c:bubble3D val="0"/>
            <c:extLst>
              <c:ext xmlns:c16="http://schemas.microsoft.com/office/drawing/2014/chart" uri="{C3380CC4-5D6E-409C-BE32-E72D297353CC}">
                <c16:uniqueId val="{0000000A-F32F-4FC9-A740-1B2848D75AF6}"/>
              </c:ext>
            </c:extLst>
          </c:dPt>
          <c:dPt>
            <c:idx val="7"/>
            <c:invertIfNegative val="0"/>
            <c:bubble3D val="0"/>
            <c:extLst>
              <c:ext xmlns:c16="http://schemas.microsoft.com/office/drawing/2014/chart" uri="{C3380CC4-5D6E-409C-BE32-E72D297353CC}">
                <c16:uniqueId val="{0000000B-F32F-4FC9-A740-1B2848D75AF6}"/>
              </c:ext>
            </c:extLst>
          </c:dPt>
          <c:dPt>
            <c:idx val="8"/>
            <c:invertIfNegative val="0"/>
            <c:bubble3D val="0"/>
            <c:extLst>
              <c:ext xmlns:c16="http://schemas.microsoft.com/office/drawing/2014/chart" uri="{C3380CC4-5D6E-409C-BE32-E72D297353CC}">
                <c16:uniqueId val="{0000000C-F32F-4FC9-A740-1B2848D75AF6}"/>
              </c:ext>
            </c:extLst>
          </c:dPt>
          <c:dPt>
            <c:idx val="9"/>
            <c:invertIfNegative val="0"/>
            <c:bubble3D val="0"/>
            <c:extLst>
              <c:ext xmlns:c16="http://schemas.microsoft.com/office/drawing/2014/chart" uri="{C3380CC4-5D6E-409C-BE32-E72D297353CC}">
                <c16:uniqueId val="{0000000D-F32F-4FC9-A740-1B2848D75AF6}"/>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category'!$A$4:$A$9</c:f>
              <c:strCache>
                <c:ptCount val="5"/>
                <c:pt idx="0">
                  <c:v>Beverages</c:v>
                </c:pt>
                <c:pt idx="1">
                  <c:v>Sauces</c:v>
                </c:pt>
                <c:pt idx="2">
                  <c:v>Jams, Preserves</c:v>
                </c:pt>
                <c:pt idx="3">
                  <c:v>Dairy Products</c:v>
                </c:pt>
                <c:pt idx="4">
                  <c:v>Dried Fruit &amp; Nuts</c:v>
                </c:pt>
              </c:strCache>
            </c:strRef>
          </c:cat>
          <c:val>
            <c:numRef>
              <c:f>'sales by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E-F32F-4FC9-A740-1B2848D75AF6}"/>
            </c:ext>
          </c:extLst>
        </c:ser>
        <c:dLbls>
          <c:dLblPos val="outEnd"/>
          <c:showLegendKey val="0"/>
          <c:showVal val="1"/>
          <c:showCatName val="0"/>
          <c:showSerName val="0"/>
          <c:showPercent val="0"/>
          <c:showBubbleSize val="0"/>
        </c:dLbls>
        <c:gapWidth val="125"/>
        <c:axId val="1714283568"/>
        <c:axId val="1714275408"/>
      </c:barChart>
      <c:catAx>
        <c:axId val="171428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714275408"/>
        <c:crosses val="autoZero"/>
        <c:auto val="1"/>
        <c:lblAlgn val="ctr"/>
        <c:lblOffset val="100"/>
        <c:noMultiLvlLbl val="0"/>
      </c:catAx>
      <c:valAx>
        <c:axId val="171427540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714283568"/>
        <c:crosses val="autoZero"/>
        <c:crossBetween val="between"/>
      </c:valAx>
      <c:spPr>
        <a:noFill/>
        <a:ln w="9525">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trend report!PivotTable1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rgbClr val="235733"/>
                </a:solidFill>
                <a:latin typeface="Arial Rounded MT Bold" panose="020F0704030504030204" pitchFamily="34" charset="0"/>
              </a:rPr>
              <a:t>Sales</a:t>
            </a:r>
            <a:r>
              <a:rPr lang="en-US" sz="3600" b="1" baseline="0">
                <a:solidFill>
                  <a:srgbClr val="235733"/>
                </a:solidFill>
                <a:latin typeface="Arial Rounded MT Bold" panose="020F0704030504030204" pitchFamily="34" charset="0"/>
              </a:rPr>
              <a:t> Trend Report </a:t>
            </a:r>
            <a:r>
              <a:rPr lang="en-US" sz="1800" b="1" i="1" baseline="0">
                <a:solidFill>
                  <a:srgbClr val="235733"/>
                </a:solidFill>
                <a:latin typeface="Arial Rounded MT Bold" panose="020F0704030504030204" pitchFamily="34" charset="0"/>
              </a:rPr>
              <a:t>for the year</a:t>
            </a:r>
            <a:endParaRPr lang="en-US" sz="1800" b="1" i="1">
              <a:solidFill>
                <a:srgbClr val="235733"/>
              </a:solidFill>
              <a:latin typeface="Arial Rounded MT Bold" panose="020F0704030504030204" pitchFamily="34" charset="0"/>
            </a:endParaRPr>
          </a:p>
        </c:rich>
      </c:tx>
      <c:layout>
        <c:manualLayout>
          <c:xMode val="edge"/>
          <c:yMode val="edge"/>
          <c:x val="2.1832092147403229E-2"/>
          <c:y val="1.87964228216870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rgbClr val="2357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97269760508458E-2"/>
          <c:y val="0.14692855837627761"/>
          <c:w val="0.92620546047898311"/>
          <c:h val="0.75957693701844198"/>
        </c:manualLayout>
      </c:layout>
      <c:lineChart>
        <c:grouping val="standard"/>
        <c:varyColors val="0"/>
        <c:ser>
          <c:idx val="0"/>
          <c:order val="0"/>
          <c:tx>
            <c:strRef>
              <c:f>'sales trend report'!$B$3</c:f>
              <c:strCache>
                <c:ptCount val="1"/>
                <c:pt idx="0">
                  <c:v>Total</c:v>
                </c:pt>
              </c:strCache>
            </c:strRef>
          </c:tx>
          <c:spPr>
            <a:ln w="25400" cap="rnd">
              <a:solidFill>
                <a:srgbClr val="23573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7332-416B-BEE9-C14BA5F27D2B}"/>
            </c:ext>
          </c:extLst>
        </c:ser>
        <c:dLbls>
          <c:dLblPos val="t"/>
          <c:showLegendKey val="0"/>
          <c:showVal val="1"/>
          <c:showCatName val="0"/>
          <c:showSerName val="0"/>
          <c:showPercent val="0"/>
          <c:showBubbleSize val="0"/>
        </c:dLbls>
        <c:smooth val="0"/>
        <c:axId val="1474849424"/>
        <c:axId val="1474849968"/>
      </c:lineChart>
      <c:catAx>
        <c:axId val="14748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474849968"/>
        <c:crosses val="autoZero"/>
        <c:auto val="1"/>
        <c:lblAlgn val="ctr"/>
        <c:lblOffset val="100"/>
        <c:noMultiLvlLbl val="0"/>
      </c:catAx>
      <c:valAx>
        <c:axId val="14748499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48494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analysis.xlsx]Top 10 Customer!PivotTable1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rgbClr val="235733"/>
                </a:solidFill>
                <a:latin typeface="Arial Rounded MT Bold" panose="020F0704030504030204" pitchFamily="34" charset="0"/>
              </a:rPr>
              <a:t>Top</a:t>
            </a:r>
            <a:r>
              <a:rPr lang="en-US" sz="3600" b="1" baseline="0">
                <a:solidFill>
                  <a:srgbClr val="235733"/>
                </a:solidFill>
                <a:latin typeface="Arial Rounded MT Bold" panose="020F0704030504030204" pitchFamily="34" charset="0"/>
              </a:rPr>
              <a:t> Customers </a:t>
            </a:r>
            <a:r>
              <a:rPr lang="en-US" sz="1800" b="1" i="1" baseline="0">
                <a:solidFill>
                  <a:srgbClr val="235733"/>
                </a:solidFill>
                <a:latin typeface="Arial Rounded MT Bold" panose="020F0704030504030204" pitchFamily="34" charset="0"/>
              </a:rPr>
              <a:t>by Revenue</a:t>
            </a:r>
            <a:endParaRPr lang="en-US" sz="1800" b="1" i="1">
              <a:solidFill>
                <a:srgbClr val="235733"/>
              </a:solidFill>
              <a:latin typeface="Arial Rounded MT Bold" panose="020F0704030504030204" pitchFamily="34" charset="0"/>
            </a:endParaRPr>
          </a:p>
        </c:rich>
      </c:tx>
      <c:layout>
        <c:manualLayout>
          <c:xMode val="edge"/>
          <c:yMode val="edge"/>
          <c:x val="1.4354984521820121E-2"/>
          <c:y val="1.93448078827273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357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35733"/>
            </a:solidFill>
            <a:round/>
          </a:ln>
          <a:effectLst/>
        </c:spPr>
        <c:marker>
          <c:symbol val="none"/>
        </c:marker>
        <c:dLbl>
          <c:idx val="0"/>
          <c:layout>
            <c:manualLayout>
              <c:x val="2.4379878279407213E-2"/>
              <c:y val="-3.2323063915753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35733"/>
            </a:solidFill>
            <a:round/>
          </a:ln>
          <a:effectLst/>
        </c:spPr>
        <c:marker>
          <c:symbol val="none"/>
        </c:marker>
        <c:dLbl>
          <c:idx val="0"/>
          <c:layout>
            <c:manualLayout>
              <c:x val="-7.4380133020917977E-2"/>
              <c:y val="-8.2653601939842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35733"/>
            </a:solidFill>
            <a:round/>
          </a:ln>
          <a:effectLst/>
        </c:spPr>
        <c:marker>
          <c:symbol val="none"/>
        </c:marker>
        <c:dLbl>
          <c:idx val="0"/>
          <c:layout>
            <c:manualLayout>
              <c:x val="-0.11162128388236223"/>
              <c:y val="-7.4262944404676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35733"/>
            </a:solidFill>
            <a:round/>
          </a:ln>
          <a:effectLst/>
        </c:spPr>
        <c:marker>
          <c:symbol val="none"/>
        </c:marker>
        <c:dLbl>
          <c:idx val="0"/>
          <c:layout>
            <c:manualLayout>
              <c:x val="0.10429196975276736"/>
              <c:y val="-0.21719080569474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35733"/>
            </a:solidFill>
            <a:round/>
          </a:ln>
          <a:effectLst/>
        </c:spPr>
        <c:marker>
          <c:symbol val="none"/>
        </c:marker>
        <c:dLbl>
          <c:idx val="0"/>
          <c:layout>
            <c:manualLayout>
              <c:x val="0.12406886943571654"/>
              <c:y val="-0.10101010101010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235733"/>
            </a:solidFill>
            <a:round/>
          </a:ln>
          <a:effectLst/>
        </c:spPr>
        <c:marker>
          <c:symbol val="none"/>
        </c:marker>
        <c:dLbl>
          <c:idx val="0"/>
          <c:layout>
            <c:manualLayout>
              <c:x val="-0.10747203469232451"/>
              <c:y val="-1.3670245764734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35733"/>
            </a:solidFill>
            <a:round/>
          </a:ln>
          <a:effectLst/>
        </c:spPr>
        <c:marker>
          <c:symbol val="none"/>
        </c:marker>
        <c:dLbl>
          <c:idx val="0"/>
          <c:layout>
            <c:manualLayout>
              <c:x val="-8.6232609728685114E-2"/>
              <c:y val="4.6922771017259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235733"/>
            </a:solidFill>
            <a:round/>
          </a:ln>
          <a:effectLst/>
        </c:spPr>
        <c:marker>
          <c:symbol val="none"/>
        </c:marker>
        <c:dLbl>
          <c:idx val="0"/>
          <c:layout>
            <c:manualLayout>
              <c:x val="0.13439095713182381"/>
              <c:y val="3.65926986399419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235733"/>
            </a:solidFill>
            <a:round/>
          </a:ln>
          <a:effectLst/>
        </c:spPr>
        <c:marker>
          <c:symbol val="none"/>
        </c:marker>
        <c:dLbl>
          <c:idx val="0"/>
          <c:layout>
            <c:manualLayout>
              <c:x val="0.12121202792974507"/>
              <c:y val="8.3476338184999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235733"/>
            </a:solidFill>
            <a:round/>
          </a:ln>
          <a:effectLst/>
        </c:spPr>
        <c:marker>
          <c:symbol val="none"/>
        </c:marker>
        <c:dLbl>
          <c:idx val="0"/>
          <c:layout>
            <c:manualLayout>
              <c:x val="1.6528918449092832E-2"/>
              <c:y val="0.134171878225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2357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235733"/>
            </a:solidFill>
            <a:round/>
          </a:ln>
          <a:effectLst/>
        </c:spPr>
        <c:marker>
          <c:symbol val="none"/>
        </c:marker>
        <c:dLbl>
          <c:idx val="0"/>
          <c:layout>
            <c:manualLayout>
              <c:x val="2.4379878279407213E-2"/>
              <c:y val="-3.2323063915753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235733"/>
            </a:solidFill>
            <a:round/>
          </a:ln>
          <a:effectLst/>
        </c:spPr>
        <c:marker>
          <c:symbol val="none"/>
        </c:marker>
        <c:dLbl>
          <c:idx val="0"/>
          <c:layout>
            <c:manualLayout>
              <c:x val="-7.4380133020917977E-2"/>
              <c:y val="-8.2653601939842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235733"/>
            </a:solidFill>
            <a:round/>
          </a:ln>
          <a:effectLst/>
        </c:spPr>
        <c:marker>
          <c:symbol val="none"/>
        </c:marker>
        <c:dLbl>
          <c:idx val="0"/>
          <c:layout>
            <c:manualLayout>
              <c:x val="-0.11162128388236223"/>
              <c:y val="-7.4262944404676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235733"/>
            </a:solidFill>
            <a:round/>
          </a:ln>
          <a:effectLst/>
        </c:spPr>
        <c:marker>
          <c:symbol val="none"/>
        </c:marker>
        <c:dLbl>
          <c:idx val="0"/>
          <c:layout>
            <c:manualLayout>
              <c:x val="-0.10747203469232451"/>
              <c:y val="-1.3670245764734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235733"/>
            </a:solidFill>
            <a:round/>
          </a:ln>
          <a:effectLst/>
        </c:spPr>
        <c:marker>
          <c:symbol val="none"/>
        </c:marker>
        <c:dLbl>
          <c:idx val="0"/>
          <c:layout>
            <c:manualLayout>
              <c:x val="-8.6232609728685114E-2"/>
              <c:y val="4.6922771017259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235733"/>
            </a:solidFill>
            <a:round/>
          </a:ln>
          <a:effectLst/>
        </c:spPr>
        <c:marker>
          <c:symbol val="none"/>
        </c:marker>
        <c:dLbl>
          <c:idx val="0"/>
          <c:layout>
            <c:manualLayout>
              <c:x val="1.6528918449092832E-2"/>
              <c:y val="0.134171878225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235733"/>
            </a:solidFill>
            <a:round/>
          </a:ln>
          <a:effectLst/>
        </c:spPr>
        <c:marker>
          <c:symbol val="none"/>
        </c:marker>
        <c:dLbl>
          <c:idx val="0"/>
          <c:layout>
            <c:manualLayout>
              <c:x val="0.12121202792974507"/>
              <c:y val="8.3476338184999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235733"/>
            </a:solidFill>
            <a:round/>
          </a:ln>
          <a:effectLst/>
        </c:spPr>
        <c:marker>
          <c:symbol val="none"/>
        </c:marker>
        <c:dLbl>
          <c:idx val="0"/>
          <c:layout>
            <c:manualLayout>
              <c:x val="0.13439095713182381"/>
              <c:y val="3.65926986399419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235733"/>
            </a:solidFill>
            <a:round/>
          </a:ln>
          <a:effectLst/>
        </c:spPr>
        <c:marker>
          <c:symbol val="none"/>
        </c:marker>
        <c:dLbl>
          <c:idx val="0"/>
          <c:layout>
            <c:manualLayout>
              <c:x val="0.12406886943571654"/>
              <c:y val="-0.10101010101010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235733"/>
            </a:solidFill>
            <a:round/>
          </a:ln>
          <a:effectLst/>
        </c:spPr>
        <c:marker>
          <c:symbol val="none"/>
        </c:marker>
        <c:dLbl>
          <c:idx val="0"/>
          <c:layout>
            <c:manualLayout>
              <c:x val="0.10429196975276736"/>
              <c:y val="-0.21719080569474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2357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235733"/>
            </a:solidFill>
            <a:round/>
          </a:ln>
          <a:effectLst/>
        </c:spPr>
        <c:marker>
          <c:symbol val="none"/>
        </c:marker>
        <c:dLbl>
          <c:idx val="0"/>
          <c:layout>
            <c:manualLayout>
              <c:x val="1.4150352916253344E-2"/>
              <c:y val="-7.193827270020143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235733"/>
            </a:solidFill>
            <a:round/>
          </a:ln>
          <a:effectLst/>
        </c:spPr>
        <c:marker>
          <c:symbol val="none"/>
        </c:marker>
        <c:dLbl>
          <c:idx val="0"/>
          <c:layout>
            <c:manualLayout>
              <c:x val="-9.8120294316213427E-2"/>
              <c:y val="-0.1096890112803786"/>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235733"/>
            </a:solidFill>
            <a:round/>
          </a:ln>
          <a:effectLst/>
        </c:spPr>
        <c:marker>
          <c:symbol val="none"/>
        </c:marker>
        <c:dLbl>
          <c:idx val="0"/>
          <c:layout>
            <c:manualLayout>
              <c:x val="-0.16937064605554433"/>
              <c:y val="-0.1181766665084903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235733"/>
            </a:solidFill>
            <a:round/>
          </a:ln>
          <a:effectLst/>
        </c:spPr>
        <c:marker>
          <c:symbol val="none"/>
        </c:marker>
        <c:dLbl>
          <c:idx val="0"/>
          <c:layout>
            <c:manualLayout>
              <c:x val="-0.10747203469232451"/>
              <c:y val="-1.367024576473410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235733"/>
            </a:solidFill>
            <a:round/>
          </a:ln>
          <a:effectLst/>
        </c:spPr>
        <c:marker>
          <c:symbol val="none"/>
        </c:marker>
        <c:dLbl>
          <c:idx val="0"/>
          <c:layout>
            <c:manualLayout>
              <c:x val="-0.20233848431560308"/>
              <c:y val="4.110770364230769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235733"/>
            </a:solidFill>
            <a:round/>
          </a:ln>
          <a:effectLst/>
        </c:spPr>
        <c:marker>
          <c:symbol val="none"/>
        </c:marker>
        <c:dLbl>
          <c:idx val="0"/>
          <c:layout>
            <c:manualLayout>
              <c:x val="1.6529073729913409E-2"/>
              <c:y val="9.830696258028294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235733"/>
            </a:solidFill>
            <a:round/>
          </a:ln>
          <a:effectLst/>
        </c:spPr>
        <c:marker>
          <c:symbol val="none"/>
        </c:marker>
        <c:dLbl>
          <c:idx val="0"/>
          <c:layout>
            <c:manualLayout>
              <c:x val="0.12121214543613508"/>
              <c:y val="5.667547360135396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235733"/>
            </a:solidFill>
            <a:round/>
          </a:ln>
          <a:effectLst/>
        </c:spPr>
        <c:marker>
          <c:symbol val="none"/>
        </c:marker>
        <c:dLbl>
          <c:idx val="0"/>
          <c:layout>
            <c:manualLayout>
              <c:x val="0.18534629873930203"/>
              <c:y val="1.1484980465217359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235733"/>
            </a:solidFill>
            <a:round/>
          </a:ln>
          <a:effectLst/>
        </c:spPr>
        <c:marker>
          <c:symbol val="none"/>
        </c:marker>
        <c:dLbl>
          <c:idx val="0"/>
          <c:layout>
            <c:manualLayout>
              <c:x val="0.12406886943571654"/>
              <c:y val="-0.10101010101010108"/>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235733"/>
            </a:solidFill>
            <a:round/>
          </a:ln>
          <a:effectLst/>
        </c:spPr>
        <c:marker>
          <c:symbol val="none"/>
        </c:marker>
        <c:dLbl>
          <c:idx val="0"/>
          <c:layout>
            <c:manualLayout>
              <c:x val="0.14837568649353067"/>
              <c:y val="-0.20759652369585296"/>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235733"/>
            </a:solidFill>
            <a:round/>
          </a:ln>
          <a:effectLst/>
        </c:spPr>
        <c:marker>
          <c:symbol val="none"/>
        </c:marker>
        <c:dLbl>
          <c:idx val="0"/>
          <c:layout>
            <c:manualLayout>
              <c:x val="0.20382157427290265"/>
              <c:y val="5.0944563690231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235733"/>
            </a:solidFill>
            <a:round/>
          </a:ln>
          <a:effectLst/>
        </c:spPr>
        <c:marker>
          <c:symbol val="none"/>
        </c:marker>
        <c:dLbl>
          <c:idx val="0"/>
          <c:layout>
            <c:manualLayout>
              <c:x val="0.26836507279265515"/>
              <c:y val="-2.1226901537596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235733"/>
            </a:solidFill>
            <a:round/>
          </a:ln>
          <a:effectLst/>
        </c:spPr>
        <c:marker>
          <c:symbol val="none"/>
        </c:marker>
      </c:pivotFmt>
    </c:pivotFmts>
    <c:plotArea>
      <c:layout>
        <c:manualLayout>
          <c:layoutTarget val="inner"/>
          <c:xMode val="edge"/>
          <c:yMode val="edge"/>
          <c:x val="0.21648499263353524"/>
          <c:y val="0.20733278177918166"/>
          <c:w val="0.56703001473292958"/>
          <c:h val="0.72894483289353418"/>
        </c:manualLayout>
      </c:layout>
      <c:radarChart>
        <c:radarStyle val="marker"/>
        <c:varyColors val="0"/>
        <c:ser>
          <c:idx val="0"/>
          <c:order val="0"/>
          <c:tx>
            <c:strRef>
              <c:f>'Top 10 Customer'!$B$3</c:f>
              <c:strCache>
                <c:ptCount val="1"/>
                <c:pt idx="0">
                  <c:v>Total</c:v>
                </c:pt>
              </c:strCache>
            </c:strRef>
          </c:tx>
          <c:spPr>
            <a:ln w="28575" cap="rnd">
              <a:solidFill>
                <a:srgbClr val="235733"/>
              </a:solidFill>
              <a:round/>
            </a:ln>
            <a:effectLst/>
          </c:spPr>
          <c:marker>
            <c:symbol val="none"/>
          </c:marker>
          <c:dPt>
            <c:idx val="0"/>
            <c:marker>
              <c:symbol val="none"/>
            </c:marker>
            <c:bubble3D val="0"/>
            <c:spPr>
              <a:ln w="28575" cap="rnd">
                <a:solidFill>
                  <a:srgbClr val="235733"/>
                </a:solidFill>
                <a:round/>
              </a:ln>
              <a:effectLst/>
            </c:spPr>
            <c:extLst>
              <c:ext xmlns:c16="http://schemas.microsoft.com/office/drawing/2014/chart" uri="{C3380CC4-5D6E-409C-BE32-E72D297353CC}">
                <c16:uniqueId val="{00000001-401E-48EF-A37F-ED2CF3E8E38F}"/>
              </c:ext>
            </c:extLst>
          </c:dPt>
          <c:dPt>
            <c:idx val="1"/>
            <c:marker>
              <c:symbol val="none"/>
            </c:marker>
            <c:bubble3D val="0"/>
            <c:spPr>
              <a:ln w="28575" cap="rnd">
                <a:solidFill>
                  <a:srgbClr val="235733"/>
                </a:solidFill>
                <a:round/>
              </a:ln>
              <a:effectLst/>
            </c:spPr>
            <c:extLst>
              <c:ext xmlns:c16="http://schemas.microsoft.com/office/drawing/2014/chart" uri="{C3380CC4-5D6E-409C-BE32-E72D297353CC}">
                <c16:uniqueId val="{00000003-401E-48EF-A37F-ED2CF3E8E38F}"/>
              </c:ext>
            </c:extLst>
          </c:dPt>
          <c:dPt>
            <c:idx val="2"/>
            <c:marker>
              <c:symbol val="none"/>
            </c:marker>
            <c:bubble3D val="0"/>
            <c:spPr>
              <a:ln w="28575" cap="rnd">
                <a:solidFill>
                  <a:srgbClr val="235733"/>
                </a:solidFill>
                <a:round/>
              </a:ln>
              <a:effectLst/>
            </c:spPr>
            <c:extLst>
              <c:ext xmlns:c16="http://schemas.microsoft.com/office/drawing/2014/chart" uri="{C3380CC4-5D6E-409C-BE32-E72D297353CC}">
                <c16:uniqueId val="{00000005-401E-48EF-A37F-ED2CF3E8E38F}"/>
              </c:ext>
            </c:extLst>
          </c:dPt>
          <c:dPt>
            <c:idx val="3"/>
            <c:marker>
              <c:symbol val="none"/>
            </c:marker>
            <c:bubble3D val="0"/>
            <c:spPr>
              <a:ln w="28575" cap="rnd">
                <a:solidFill>
                  <a:srgbClr val="235733"/>
                </a:solidFill>
                <a:round/>
              </a:ln>
              <a:effectLst/>
            </c:spPr>
            <c:extLst>
              <c:ext xmlns:c16="http://schemas.microsoft.com/office/drawing/2014/chart" uri="{C3380CC4-5D6E-409C-BE32-E72D297353CC}">
                <c16:uniqueId val="{00000007-401E-48EF-A37F-ED2CF3E8E38F}"/>
              </c:ext>
            </c:extLst>
          </c:dPt>
          <c:dPt>
            <c:idx val="4"/>
            <c:marker>
              <c:symbol val="none"/>
            </c:marker>
            <c:bubble3D val="0"/>
            <c:spPr>
              <a:ln w="28575" cap="rnd">
                <a:solidFill>
                  <a:srgbClr val="235733"/>
                </a:solidFill>
                <a:round/>
              </a:ln>
              <a:effectLst/>
            </c:spPr>
            <c:extLst>
              <c:ext xmlns:c16="http://schemas.microsoft.com/office/drawing/2014/chart" uri="{C3380CC4-5D6E-409C-BE32-E72D297353CC}">
                <c16:uniqueId val="{00000009-401E-48EF-A37F-ED2CF3E8E38F}"/>
              </c:ext>
            </c:extLst>
          </c:dPt>
          <c:dPt>
            <c:idx val="5"/>
            <c:marker>
              <c:symbol val="none"/>
            </c:marker>
            <c:bubble3D val="0"/>
            <c:spPr>
              <a:ln w="28575" cap="rnd">
                <a:solidFill>
                  <a:srgbClr val="235733"/>
                </a:solidFill>
                <a:round/>
              </a:ln>
              <a:effectLst/>
            </c:spPr>
            <c:extLst>
              <c:ext xmlns:c16="http://schemas.microsoft.com/office/drawing/2014/chart" uri="{C3380CC4-5D6E-409C-BE32-E72D297353CC}">
                <c16:uniqueId val="{00000012-401E-48EF-A37F-ED2CF3E8E38F}"/>
              </c:ext>
            </c:extLst>
          </c:dPt>
          <c:dPt>
            <c:idx val="6"/>
            <c:marker>
              <c:symbol val="none"/>
            </c:marker>
            <c:bubble3D val="0"/>
            <c:spPr>
              <a:ln w="28575" cap="rnd">
                <a:solidFill>
                  <a:srgbClr val="235733"/>
                </a:solidFill>
                <a:round/>
              </a:ln>
              <a:effectLst/>
            </c:spPr>
            <c:extLst>
              <c:ext xmlns:c16="http://schemas.microsoft.com/office/drawing/2014/chart" uri="{C3380CC4-5D6E-409C-BE32-E72D297353CC}">
                <c16:uniqueId val="{0000000B-401E-48EF-A37F-ED2CF3E8E38F}"/>
              </c:ext>
            </c:extLst>
          </c:dPt>
          <c:dPt>
            <c:idx val="7"/>
            <c:marker>
              <c:symbol val="none"/>
            </c:marker>
            <c:bubble3D val="0"/>
            <c:spPr>
              <a:ln w="28575" cap="rnd">
                <a:solidFill>
                  <a:srgbClr val="235733"/>
                </a:solidFill>
                <a:round/>
              </a:ln>
              <a:effectLst/>
            </c:spPr>
            <c:extLst>
              <c:ext xmlns:c16="http://schemas.microsoft.com/office/drawing/2014/chart" uri="{C3380CC4-5D6E-409C-BE32-E72D297353CC}">
                <c16:uniqueId val="{0000000D-401E-48EF-A37F-ED2CF3E8E38F}"/>
              </c:ext>
            </c:extLst>
          </c:dPt>
          <c:dPt>
            <c:idx val="8"/>
            <c:marker>
              <c:symbol val="none"/>
            </c:marker>
            <c:bubble3D val="0"/>
            <c:spPr>
              <a:ln w="28575" cap="rnd">
                <a:solidFill>
                  <a:srgbClr val="235733"/>
                </a:solidFill>
                <a:round/>
              </a:ln>
              <a:effectLst/>
            </c:spPr>
            <c:extLst>
              <c:ext xmlns:c16="http://schemas.microsoft.com/office/drawing/2014/chart" uri="{C3380CC4-5D6E-409C-BE32-E72D297353CC}">
                <c16:uniqueId val="{0000000F-401E-48EF-A37F-ED2CF3E8E38F}"/>
              </c:ext>
            </c:extLst>
          </c:dPt>
          <c:dPt>
            <c:idx val="9"/>
            <c:marker>
              <c:symbol val="none"/>
            </c:marker>
            <c:bubble3D val="0"/>
            <c:spPr>
              <a:ln w="28575" cap="rnd">
                <a:solidFill>
                  <a:srgbClr val="235733"/>
                </a:solidFill>
                <a:round/>
              </a:ln>
              <a:effectLst/>
            </c:spPr>
            <c:extLst>
              <c:ext xmlns:c16="http://schemas.microsoft.com/office/drawing/2014/chart" uri="{C3380CC4-5D6E-409C-BE32-E72D297353CC}">
                <c16:uniqueId val="{00000011-401E-48EF-A37F-ED2CF3E8E38F}"/>
              </c:ext>
            </c:extLst>
          </c:dPt>
          <c:dPt>
            <c:idx val="13"/>
            <c:marker>
              <c:symbol val="none"/>
            </c:marker>
            <c:bubble3D val="0"/>
            <c:extLst>
              <c:ext xmlns:c16="http://schemas.microsoft.com/office/drawing/2014/chart" uri="{C3380CC4-5D6E-409C-BE32-E72D297353CC}">
                <c16:uniqueId val="{00000014-A024-415B-B0E3-0F23EE561CAA}"/>
              </c:ext>
            </c:extLst>
          </c:dPt>
          <c:dLbls>
            <c:dLbl>
              <c:idx val="0"/>
              <c:layout>
                <c:manualLayout>
                  <c:x val="1.4150352916253344E-2"/>
                  <c:y val="-7.1938272700201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1E-48EF-A37F-ED2CF3E8E38F}"/>
                </c:ext>
              </c:extLst>
            </c:dLbl>
            <c:dLbl>
              <c:idx val="1"/>
              <c:layout>
                <c:manualLayout>
                  <c:x val="-9.8120294316213427E-2"/>
                  <c:y val="-0.10968901128037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1E-48EF-A37F-ED2CF3E8E38F}"/>
                </c:ext>
              </c:extLst>
            </c:dLbl>
            <c:dLbl>
              <c:idx val="2"/>
              <c:layout>
                <c:manualLayout>
                  <c:x val="-0.16937064605554433"/>
                  <c:y val="-0.118176666508490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1E-48EF-A37F-ED2CF3E8E38F}"/>
                </c:ext>
              </c:extLst>
            </c:dLbl>
            <c:dLbl>
              <c:idx val="3"/>
              <c:layout>
                <c:manualLayout>
                  <c:x val="-0.10747203469232451"/>
                  <c:y val="-1.36702457647341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01E-48EF-A37F-ED2CF3E8E38F}"/>
                </c:ext>
              </c:extLst>
            </c:dLbl>
            <c:dLbl>
              <c:idx val="4"/>
              <c:layout>
                <c:manualLayout>
                  <c:x val="-0.20233848431560308"/>
                  <c:y val="4.1107703642307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01E-48EF-A37F-ED2CF3E8E38F}"/>
                </c:ext>
              </c:extLst>
            </c:dLbl>
            <c:dLbl>
              <c:idx val="5"/>
              <c:layout>
                <c:manualLayout>
                  <c:x val="1.6529073729913409E-2"/>
                  <c:y val="9.8306962580282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01E-48EF-A37F-ED2CF3E8E38F}"/>
                </c:ext>
              </c:extLst>
            </c:dLbl>
            <c:dLbl>
              <c:idx val="6"/>
              <c:layout>
                <c:manualLayout>
                  <c:x val="0.12121214543613508"/>
                  <c:y val="5.6675473601353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01E-48EF-A37F-ED2CF3E8E38F}"/>
                </c:ext>
              </c:extLst>
            </c:dLbl>
            <c:dLbl>
              <c:idx val="7"/>
              <c:layout>
                <c:manualLayout>
                  <c:x val="0.18534629873930203"/>
                  <c:y val="1.14849804652173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01E-48EF-A37F-ED2CF3E8E38F}"/>
                </c:ext>
              </c:extLst>
            </c:dLbl>
            <c:dLbl>
              <c:idx val="8"/>
              <c:layout>
                <c:manualLayout>
                  <c:x val="0.12406886943571654"/>
                  <c:y val="-0.10101010101010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01E-48EF-A37F-ED2CF3E8E38F}"/>
                </c:ext>
              </c:extLst>
            </c:dLbl>
            <c:dLbl>
              <c:idx val="9"/>
              <c:layout>
                <c:manualLayout>
                  <c:x val="0.14837568649353067"/>
                  <c:y val="-0.20759652369585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01E-48EF-A37F-ED2CF3E8E38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3-401E-48EF-A37F-ED2CF3E8E38F}"/>
            </c:ext>
          </c:extLst>
        </c:ser>
        <c:dLbls>
          <c:showLegendKey val="0"/>
          <c:showVal val="1"/>
          <c:showCatName val="0"/>
          <c:showSerName val="0"/>
          <c:showPercent val="0"/>
          <c:showBubbleSize val="0"/>
        </c:dLbls>
        <c:axId val="1474853232"/>
        <c:axId val="1474854320"/>
      </c:radarChart>
      <c:catAx>
        <c:axId val="147485323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474854320"/>
        <c:crosses val="autoZero"/>
        <c:auto val="1"/>
        <c:lblAlgn val="ctr"/>
        <c:lblOffset val="100"/>
        <c:noMultiLvlLbl val="0"/>
      </c:catAx>
      <c:valAx>
        <c:axId val="147485432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4748532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trend report!PivotTable1</c:name>
    <c:fmtId val="15"/>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5">
                <a:lumMod val="50000"/>
              </a:schemeClr>
            </a:solidFill>
            <a:round/>
          </a:ln>
          <a:effectLst/>
        </c:spPr>
        <c:marker>
          <c:symbol val="none"/>
        </c:marker>
      </c:pivotFmt>
      <c:pivotFmt>
        <c:idx val="5"/>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solidFill>
              <a:schemeClr val="bg1"/>
            </a:solidFill>
            <a:round/>
          </a:ln>
          <a:effectLst/>
        </c:spPr>
        <c:marker>
          <c:symbol val="none"/>
        </c:marker>
      </c:pivotFmt>
    </c:pivotFmts>
    <c:plotArea>
      <c:layout>
        <c:manualLayout>
          <c:layoutTarget val="inner"/>
          <c:xMode val="edge"/>
          <c:yMode val="edge"/>
          <c:x val="0.15159258318516636"/>
          <c:y val="0.27410401110262328"/>
          <c:w val="0.73265712753647727"/>
          <c:h val="0.64970543652587065"/>
        </c:manualLayout>
      </c:layout>
      <c:lineChart>
        <c:grouping val="standard"/>
        <c:varyColors val="0"/>
        <c:ser>
          <c:idx val="0"/>
          <c:order val="0"/>
          <c:tx>
            <c:strRef>
              <c:f>'sales trend report'!$B$3</c:f>
              <c:strCache>
                <c:ptCount val="1"/>
                <c:pt idx="0">
                  <c:v>Total</c:v>
                </c:pt>
              </c:strCache>
            </c:strRef>
          </c:tx>
          <c:spPr>
            <a:ln w="25400"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B4F-49B7-84A5-265E3F3F1F9F}"/>
            </c:ext>
          </c:extLst>
        </c:ser>
        <c:dLbls>
          <c:dLblPos val="t"/>
          <c:showLegendKey val="0"/>
          <c:showVal val="1"/>
          <c:showCatName val="0"/>
          <c:showSerName val="0"/>
          <c:showPercent val="0"/>
          <c:showBubbleSize val="0"/>
        </c:dLbls>
        <c:smooth val="0"/>
        <c:axId val="1474849424"/>
        <c:axId val="1474849968"/>
      </c:lineChart>
      <c:catAx>
        <c:axId val="1474849424"/>
        <c:scaling>
          <c:orientation val="minMax"/>
        </c:scaling>
        <c:delete val="1"/>
        <c:axPos val="b"/>
        <c:numFmt formatCode="General" sourceLinked="1"/>
        <c:majorTickMark val="none"/>
        <c:minorTickMark val="none"/>
        <c:tickLblPos val="nextTo"/>
        <c:crossAx val="1474849968"/>
        <c:crosses val="autoZero"/>
        <c:auto val="1"/>
        <c:lblAlgn val="ctr"/>
        <c:lblOffset val="100"/>
        <c:noMultiLvlLbl val="0"/>
      </c:catAx>
      <c:valAx>
        <c:axId val="14748499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74849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trend report!PivotTable1</c:name>
    <c:fmtId val="23"/>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5">
                <a:lumMod val="50000"/>
              </a:schemeClr>
            </a:solidFill>
            <a:round/>
          </a:ln>
          <a:effectLst/>
        </c:spPr>
        <c:marker>
          <c:symbol val="none"/>
        </c:marker>
      </c:pivotFmt>
      <c:pivotFmt>
        <c:idx val="5"/>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accent5">
                <a:lumMod val="50000"/>
              </a:schemeClr>
            </a:solidFill>
            <a:round/>
          </a:ln>
          <a:effectLst/>
        </c:spPr>
        <c:marker>
          <c:symbol val="none"/>
        </c:marker>
      </c:pivotFmt>
      <c:pivotFmt>
        <c:idx val="7"/>
        <c:spPr>
          <a:solidFill>
            <a:schemeClr val="accent1"/>
          </a:solidFill>
          <a:ln w="25400" cap="rnd">
            <a:solidFill>
              <a:schemeClr val="accent5">
                <a:lumMod val="50000"/>
              </a:schemeClr>
            </a:solidFill>
            <a:round/>
          </a:ln>
          <a:effectLst/>
        </c:spPr>
        <c:marker>
          <c:symbol val="none"/>
        </c:marker>
      </c:pivotFmt>
      <c:pivotFmt>
        <c:idx val="8"/>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71233980745899"/>
          <c:y val="3.3243473902382852E-2"/>
          <c:w val="0.73265712753647727"/>
          <c:h val="0.64970543652587065"/>
        </c:manualLayout>
      </c:layout>
      <c:lineChart>
        <c:grouping val="standard"/>
        <c:varyColors val="0"/>
        <c:ser>
          <c:idx val="0"/>
          <c:order val="0"/>
          <c:tx>
            <c:strRef>
              <c:f>'sales trend report'!$B$3</c:f>
              <c:strCache>
                <c:ptCount val="1"/>
                <c:pt idx="0">
                  <c:v>Total</c:v>
                </c:pt>
              </c:strCache>
            </c:strRef>
          </c:tx>
          <c:spPr>
            <a:ln w="25400"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B4F-49B7-84A5-265E3F3F1F9F}"/>
            </c:ext>
          </c:extLst>
        </c:ser>
        <c:dLbls>
          <c:dLblPos val="t"/>
          <c:showLegendKey val="0"/>
          <c:showVal val="1"/>
          <c:showCatName val="0"/>
          <c:showSerName val="0"/>
          <c:showPercent val="0"/>
          <c:showBubbleSize val="0"/>
        </c:dLbls>
        <c:smooth val="0"/>
        <c:axId val="1474849424"/>
        <c:axId val="1474849968"/>
      </c:lineChart>
      <c:catAx>
        <c:axId val="1474849424"/>
        <c:scaling>
          <c:orientation val="minMax"/>
        </c:scaling>
        <c:delete val="1"/>
        <c:axPos val="b"/>
        <c:numFmt formatCode="General" sourceLinked="1"/>
        <c:majorTickMark val="none"/>
        <c:minorTickMark val="none"/>
        <c:tickLblPos val="nextTo"/>
        <c:crossAx val="1474849968"/>
        <c:crosses val="autoZero"/>
        <c:auto val="1"/>
        <c:lblAlgn val="ctr"/>
        <c:lblOffset val="100"/>
        <c:noMultiLvlLbl val="0"/>
      </c:catAx>
      <c:valAx>
        <c:axId val="14748499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74849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trend report!PivotTable1</c:name>
    <c:fmtId val="24"/>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5">
                <a:lumMod val="50000"/>
              </a:schemeClr>
            </a:solidFill>
            <a:round/>
          </a:ln>
          <a:effectLst/>
        </c:spPr>
        <c:marker>
          <c:symbol val="none"/>
        </c:marker>
      </c:pivotFmt>
      <c:pivotFmt>
        <c:idx val="5"/>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accent5">
                <a:lumMod val="50000"/>
              </a:schemeClr>
            </a:solidFill>
            <a:round/>
          </a:ln>
          <a:effectLst/>
        </c:spPr>
        <c:marker>
          <c:symbol val="none"/>
        </c:marker>
      </c:pivotFmt>
      <c:pivotFmt>
        <c:idx val="7"/>
        <c:spPr>
          <a:solidFill>
            <a:schemeClr val="accent1"/>
          </a:solidFill>
          <a:ln w="25400" cap="rnd">
            <a:solidFill>
              <a:schemeClr val="accent5">
                <a:lumMod val="50000"/>
              </a:schemeClr>
            </a:solidFill>
            <a:round/>
          </a:ln>
          <a:effectLst/>
        </c:spPr>
        <c:marker>
          <c:symbol val="none"/>
        </c:marker>
      </c:pivotFmt>
      <c:pivotFmt>
        <c:idx val="8"/>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9258318516636"/>
          <c:y val="0.27410401110262328"/>
          <c:w val="0.73265712753647727"/>
          <c:h val="0.64970543652587065"/>
        </c:manualLayout>
      </c:layout>
      <c:lineChart>
        <c:grouping val="standard"/>
        <c:varyColors val="0"/>
        <c:ser>
          <c:idx val="0"/>
          <c:order val="0"/>
          <c:tx>
            <c:strRef>
              <c:f>'sales trend report'!$B$3</c:f>
              <c:strCache>
                <c:ptCount val="1"/>
                <c:pt idx="0">
                  <c:v>Total</c:v>
                </c:pt>
              </c:strCache>
            </c:strRef>
          </c:tx>
          <c:spPr>
            <a:ln w="25400"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B4F-49B7-84A5-265E3F3F1F9F}"/>
            </c:ext>
          </c:extLst>
        </c:ser>
        <c:dLbls>
          <c:dLblPos val="t"/>
          <c:showLegendKey val="0"/>
          <c:showVal val="1"/>
          <c:showCatName val="0"/>
          <c:showSerName val="0"/>
          <c:showPercent val="0"/>
          <c:showBubbleSize val="0"/>
        </c:dLbls>
        <c:smooth val="0"/>
        <c:axId val="1474849424"/>
        <c:axId val="1474849968"/>
      </c:lineChart>
      <c:catAx>
        <c:axId val="1474849424"/>
        <c:scaling>
          <c:orientation val="minMax"/>
        </c:scaling>
        <c:delete val="1"/>
        <c:axPos val="b"/>
        <c:numFmt formatCode="General" sourceLinked="1"/>
        <c:majorTickMark val="none"/>
        <c:minorTickMark val="none"/>
        <c:tickLblPos val="nextTo"/>
        <c:crossAx val="1474849968"/>
        <c:crosses val="autoZero"/>
        <c:auto val="1"/>
        <c:lblAlgn val="ctr"/>
        <c:lblOffset val="100"/>
        <c:noMultiLvlLbl val="0"/>
      </c:catAx>
      <c:valAx>
        <c:axId val="14748499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74849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trend report!PivotTable1</c:name>
    <c:fmtId val="25"/>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5">
                <a:lumMod val="50000"/>
              </a:schemeClr>
            </a:solidFill>
            <a:round/>
          </a:ln>
          <a:effectLst/>
        </c:spPr>
        <c:marker>
          <c:symbol val="none"/>
        </c:marker>
      </c:pivotFmt>
      <c:pivotFmt>
        <c:idx val="5"/>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accent5">
                <a:lumMod val="50000"/>
              </a:schemeClr>
            </a:solidFill>
            <a:round/>
          </a:ln>
          <a:effectLst/>
        </c:spPr>
        <c:marker>
          <c:symbol val="none"/>
        </c:marker>
      </c:pivotFmt>
      <c:pivotFmt>
        <c:idx val="7"/>
        <c:spPr>
          <a:solidFill>
            <a:schemeClr val="accent1"/>
          </a:solidFill>
          <a:ln w="25400" cap="rnd">
            <a:solidFill>
              <a:schemeClr val="accent5">
                <a:lumMod val="50000"/>
              </a:schemeClr>
            </a:solidFill>
            <a:round/>
          </a:ln>
          <a:effectLst/>
        </c:spPr>
        <c:marker>
          <c:symbol val="none"/>
        </c:marker>
      </c:pivotFmt>
      <c:pivotFmt>
        <c:idx val="8"/>
        <c:spPr>
          <a:solidFill>
            <a:schemeClr val="accent1"/>
          </a:solidFill>
          <a:ln w="25400" cap="rnd">
            <a:solidFill>
              <a:schemeClr val="accent5">
                <a:lumMod val="50000"/>
              </a:schemeClr>
            </a:solidFill>
            <a:round/>
          </a:ln>
          <a:effectLst/>
        </c:spPr>
        <c:marker>
          <c:symbol val="none"/>
        </c:marker>
      </c:pivotFmt>
      <c:pivotFmt>
        <c:idx val="9"/>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chemeClr val="bg1"/>
            </a:solidFill>
            <a:round/>
          </a:ln>
          <a:effectLst/>
        </c:spPr>
        <c:marker>
          <c:symbol val="none"/>
        </c:marker>
      </c:pivotFmt>
    </c:pivotFmts>
    <c:plotArea>
      <c:layout>
        <c:manualLayout>
          <c:layoutTarget val="inner"/>
          <c:xMode val="edge"/>
          <c:yMode val="edge"/>
          <c:x val="0.12347335512040454"/>
          <c:y val="0.30851135886424902"/>
          <c:w val="0.73265712753647727"/>
          <c:h val="0.64970543652587065"/>
        </c:manualLayout>
      </c:layout>
      <c:lineChart>
        <c:grouping val="standard"/>
        <c:varyColors val="0"/>
        <c:ser>
          <c:idx val="0"/>
          <c:order val="0"/>
          <c:tx>
            <c:strRef>
              <c:f>'sales trend report'!$B$3</c:f>
              <c:strCache>
                <c:ptCount val="1"/>
                <c:pt idx="0">
                  <c:v>Total</c:v>
                </c:pt>
              </c:strCache>
            </c:strRef>
          </c:tx>
          <c:spPr>
            <a:ln w="25400" cap="rnd">
              <a:solidFill>
                <a:schemeClr val="bg1"/>
              </a:solidFill>
              <a:round/>
            </a:ln>
            <a:effectLst/>
          </c:spPr>
          <c:marker>
            <c:symbol val="none"/>
          </c:marker>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B4F-49B7-84A5-265E3F3F1F9F}"/>
            </c:ext>
          </c:extLst>
        </c:ser>
        <c:dLbls>
          <c:showLegendKey val="0"/>
          <c:showVal val="0"/>
          <c:showCatName val="0"/>
          <c:showSerName val="0"/>
          <c:showPercent val="0"/>
          <c:showBubbleSize val="0"/>
        </c:dLbls>
        <c:smooth val="0"/>
        <c:axId val="1474849424"/>
        <c:axId val="1474849968"/>
      </c:lineChart>
      <c:catAx>
        <c:axId val="1474849424"/>
        <c:scaling>
          <c:orientation val="minMax"/>
        </c:scaling>
        <c:delete val="1"/>
        <c:axPos val="b"/>
        <c:numFmt formatCode="General" sourceLinked="1"/>
        <c:majorTickMark val="none"/>
        <c:minorTickMark val="none"/>
        <c:tickLblPos val="nextTo"/>
        <c:crossAx val="1474849968"/>
        <c:crosses val="autoZero"/>
        <c:auto val="1"/>
        <c:lblAlgn val="ctr"/>
        <c:lblOffset val="100"/>
        <c:noMultiLvlLbl val="0"/>
      </c:catAx>
      <c:valAx>
        <c:axId val="14748499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74849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[Adeyeye 1 analysis.xlsx]sales trend report!PivotTable1</c:name>
    <c:fmtId val="26"/>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5">
                <a:lumMod val="50000"/>
              </a:schemeClr>
            </a:solidFill>
            <a:round/>
          </a:ln>
          <a:effectLst/>
        </c:spPr>
        <c:marker>
          <c:symbol val="none"/>
        </c:marker>
      </c:pivotFmt>
      <c:pivotFmt>
        <c:idx val="5"/>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accent5">
                <a:lumMod val="50000"/>
              </a:schemeClr>
            </a:solidFill>
            <a:round/>
          </a:ln>
          <a:effectLst/>
        </c:spPr>
        <c:marker>
          <c:symbol val="none"/>
        </c:marker>
      </c:pivotFmt>
      <c:pivotFmt>
        <c:idx val="7"/>
        <c:spPr>
          <a:solidFill>
            <a:schemeClr val="accent1"/>
          </a:solidFill>
          <a:ln w="25400" cap="rnd">
            <a:solidFill>
              <a:schemeClr val="accent5">
                <a:lumMod val="50000"/>
              </a:schemeClr>
            </a:solidFill>
            <a:round/>
          </a:ln>
          <a:effectLst/>
        </c:spPr>
        <c:marker>
          <c:symbol val="none"/>
        </c:marker>
      </c:pivotFmt>
      <c:pivotFmt>
        <c:idx val="8"/>
        <c:spPr>
          <a:solidFill>
            <a:schemeClr val="accent1"/>
          </a:solidFill>
          <a:ln w="25400" cap="rnd">
            <a:solidFill>
              <a:schemeClr val="accent5">
                <a:lumMod val="50000"/>
              </a:schemeClr>
            </a:solidFill>
            <a:round/>
          </a:ln>
          <a:effectLst/>
        </c:spPr>
        <c:marker>
          <c:symbol val="none"/>
        </c:marker>
      </c:pivotFmt>
      <c:pivotFmt>
        <c:idx val="9"/>
        <c:spPr>
          <a:solidFill>
            <a:schemeClr val="accent1"/>
          </a:solidFill>
          <a:ln w="25400" cap="rnd">
            <a:solidFill>
              <a:schemeClr val="accent5">
                <a:lumMod val="50000"/>
              </a:schemeClr>
            </a:solidFill>
            <a:round/>
          </a:ln>
          <a:effectLst/>
        </c:spPr>
        <c:marker>
          <c:symbol val="none"/>
        </c:marker>
      </c:pivotFmt>
      <c:pivotFmt>
        <c:idx val="10"/>
        <c:spPr>
          <a:solidFill>
            <a:schemeClr val="accent1"/>
          </a:solidFill>
          <a:ln w="25400" cap="rnd">
            <a:solidFill>
              <a:schemeClr val="accent5">
                <a:lumMod val="50000"/>
              </a:schemeClr>
            </a:solidFill>
            <a:round/>
          </a:ln>
          <a:effectLst/>
        </c:spPr>
        <c:marker>
          <c:symbol val="none"/>
        </c:marker>
      </c:pivotFmt>
      <c:pivotFmt>
        <c:idx val="11"/>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9821959975726"/>
          <c:y val="0.1020604451428494"/>
          <c:w val="0.73265712753647727"/>
          <c:h val="0.64970543652587065"/>
        </c:manualLayout>
      </c:layout>
      <c:lineChart>
        <c:grouping val="standard"/>
        <c:varyColors val="0"/>
        <c:ser>
          <c:idx val="0"/>
          <c:order val="0"/>
          <c:tx>
            <c:strRef>
              <c:f>'sales trend report'!$B$3</c:f>
              <c:strCache>
                <c:ptCount val="1"/>
                <c:pt idx="0">
                  <c:v>Total</c:v>
                </c:pt>
              </c:strCache>
            </c:strRef>
          </c:tx>
          <c:spPr>
            <a:ln w="25400"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BB4F-49B7-84A5-265E3F3F1F9F}"/>
            </c:ext>
          </c:extLst>
        </c:ser>
        <c:dLbls>
          <c:dLblPos val="t"/>
          <c:showLegendKey val="0"/>
          <c:showVal val="1"/>
          <c:showCatName val="0"/>
          <c:showSerName val="0"/>
          <c:showPercent val="0"/>
          <c:showBubbleSize val="0"/>
        </c:dLbls>
        <c:smooth val="0"/>
        <c:axId val="1474849424"/>
        <c:axId val="1474849968"/>
      </c:lineChart>
      <c:catAx>
        <c:axId val="1474849424"/>
        <c:scaling>
          <c:orientation val="minMax"/>
        </c:scaling>
        <c:delete val="1"/>
        <c:axPos val="b"/>
        <c:numFmt formatCode="General" sourceLinked="1"/>
        <c:majorTickMark val="none"/>
        <c:minorTickMark val="none"/>
        <c:tickLblPos val="nextTo"/>
        <c:crossAx val="1474849968"/>
        <c:crosses val="autoZero"/>
        <c:auto val="1"/>
        <c:lblAlgn val="ctr"/>
        <c:lblOffset val="100"/>
        <c:noMultiLvlLbl val="0"/>
      </c:catAx>
      <c:valAx>
        <c:axId val="14748499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74849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6 SHIP CITIES</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Arial Rounded MT Bold" panose="020F0704030504030204" pitchFamily="34" charset="0"/>
            </a:rPr>
            <a:t>TOP 6 SHIP CITIES</a:t>
          </a:r>
        </a:p>
      </cx:txPr>
    </cx:title>
    <cx:plotArea>
      <cx:plotAreaRegion>
        <cx:series layoutId="treemap" uniqueId="{33FDAC1D-A165-4BB5-BA45-7B9709067984}">
          <cx:tx>
            <cx:txData>
              <cx:f>_xlchart.v1.1</cx:f>
              <cx:v>Sum of Revenue</cx:v>
            </cx:txData>
          </cx:tx>
          <cx:spPr>
            <a:solidFill>
              <a:schemeClr val="accent1">
                <a:lumMod val="50000"/>
              </a:schemeClr>
            </a:solidFill>
          </cx:spPr>
          <cx:dataPt idx="0">
            <cx:spPr>
              <a:solidFill>
                <a:srgbClr val="5B9BD5">
                  <a:lumMod val="50000"/>
                </a:srgbClr>
              </a:solidFill>
            </cx:spPr>
          </cx:dataPt>
          <cx:dataPt idx="1">
            <cx:spPr>
              <a:solidFill>
                <a:srgbClr val="5B9BD5">
                  <a:lumMod val="75000"/>
                </a:srgbClr>
              </a:solidFill>
            </cx:spPr>
          </cx:dataPt>
          <cx:dataPt idx="2">
            <cx:spPr>
              <a:solidFill>
                <a:srgbClr val="5B9BD5">
                  <a:lumMod val="60000"/>
                  <a:lumOff val="40000"/>
                </a:srgbClr>
              </a:solidFill>
            </cx:spPr>
          </cx:dataPt>
          <cx:dataPt idx="3">
            <cx:spPr>
              <a:solidFill>
                <a:srgbClr val="5B9BD5">
                  <a:lumMod val="40000"/>
                  <a:lumOff val="60000"/>
                </a:srgbClr>
              </a:solidFill>
            </cx:spPr>
          </cx:dataPt>
          <cx:dataPt idx="4">
            <cx:spPr>
              <a:solidFill>
                <a:srgbClr val="5B9BD5">
                  <a:lumMod val="40000"/>
                  <a:lumOff val="60000"/>
                </a:srgbClr>
              </a:solidFill>
            </cx:spPr>
          </cx:dataPt>
          <cx:dataPt idx="5">
            <cx:spPr>
              <a:solidFill>
                <a:srgbClr val="5B9BD5">
                  <a:lumMod val="20000"/>
                  <a:lumOff val="80000"/>
                </a:srgbClr>
              </a:solidFill>
            </cx:spPr>
          </cx:dataPt>
          <cx:dataLabels pos="inEnd">
            <cx:visibility seriesName="0" categoryName="1" value="1"/>
            <cx:separator>
</cx:separator>
          </cx:dataLabels>
          <cx:dataId val="0"/>
          <cx:layoutPr>
            <cx:parentLabelLayout val="overlapping"/>
          </cx:layoutPr>
        </cx:series>
      </cx:plotAreaRegion>
    </cx:plotArea>
    <cx:legend pos="t" align="ctr"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Arial Rounded MT Bold" panose="020F0704030504030204" pitchFamily="34" charset="0"/>
            </a:rPr>
            <a:t>State performance by revenue</a:t>
          </a:r>
        </a:p>
      </cx:txPr>
    </cx:title>
    <cx:plotArea>
      <cx:plotAreaRegion>
        <cx:series layoutId="regionMap" uniqueId="{B4CFAC94-7B60-44A6-9381-39F104EA8EA0}">
          <cx:tx>
            <cx:txData>
              <cx:f>_xlchart.v5.5</cx:f>
              <cx:v>Sum of Revenue</cx:v>
            </cx:txData>
          </cx:tx>
          <cx:dataPt idx="0">
            <cx:spPr>
              <a:solidFill>
                <a:srgbClr val="4472C4"/>
              </a:solidFill>
            </cx:spPr>
          </cx:dataPt>
          <cx:dataLabels>
            <cx:numFmt formatCode="$#,##0" sourceLinked="0"/>
            <cx:visibility seriesName="0" categoryName="1" value="0"/>
            <cx:separator>
</cx:separator>
          </cx:dataLabels>
          <cx:dataId val="0"/>
          <cx:layoutPr>
            <cx:geography cultureLanguage="en-US" cultureRegion="US" attribution="Powered by Bing">
              <cx:geoCache provider="{E9337A44-BEBE-4D9F-B70C-5C5E7DAFC167}">
                <cx:binary>1HzZctxGtu2vOPx8IeecyI72ibhAsTiKGiiqLb0gKInGjAQSifHr7wKLcotlH8ru6LgR1oMriAKQ
uee1187yPz/P//hc3d+5H+a6avp/fJ5//jHzvv3HTz/1n7P7+q5/Ueefne3tr/7FZ1v/ZH/9Nf98
/9MXdzflTfoTI1T89Dm7c/5+/vF//om3pff2yn6+87lt3gz3bnl73w+V75/57g+/+uHuS503u7z3
Lv/s6c8/3r778Yf7xud+ebe09z//+OT7H3/46fgtv1vxhwqb8sMXPMvNC8641opJ8vCP/fhDZZv0
8euAUvpC6ZAxptTXVa/vajx56++yr1f+aB8Pu7j78sXd9z1EePj8+tSTHR8E+myHxm86SqEuXGpy
f//lhxt/5+/7H3/Iexsfbojttu3bmwc5f3qq5f/559EFSH505RtDHKvpe1/9zg7XH56T/6/ZQbAX
hhsmOGcHO/CndtDyhcI3UlFhHv4dWeP6fvrhg3Xlczv6Y4v8+8kjq2zi/Q2t8urtczr4i1bhsEqo
QsXVQevmqVUoIy+kDCmRQn9d9RAdr9x9apuv1/58fHx97sgWm1B/Q1vsr57TwF+zBQtfSCMlFfwQ
IIQ+tUXIXohQc8HCxxsQQYcsebDIvrIu/3L39eKfN8lvDx7ZZBPub2iTd9fPqeCv2YTLF6FgxpAw
/MPqEaoXXHCmqH7MarDZtzZ5d980KA/3918v/3mrfPPokV02Af+GdvnX+XNK+Gt2EeKF4sZIrsgf
5q3QvNCcIZrMH8fKv/L+s236/D9IYN88emSXTcC/oV3O/4s5TJAXlAkacvVYxY/qCexCBaqNDOVv
dvs2Xs6rKm9sDkB0uPrnw+XfTx5ZZRPvb2iVf/3f53TwF6NFvxCUcqlDfdA6avkTDPxQ5ZUIiaAP
ae4oi/3rrs/QAfj/pN5/++yRZTYR/4aWif+LluH6BZNCKUPNob5A808sQ82LrbhoKujBdF+94lDz
47sq/9W6Jr/7ev3PR8y3zx5ZZhPxb2iZ891zWviLMSNe8NAQjWx2UHx4bBmUIJQXHRL5ddWDTc6/
3GX266U/b47Hx44ssYn0N7RE/Oo5Bfw1S/DwhTGhlET8G2M9iREiX6A9Qc05AsSxBSK++/If2OLf
Tx6ZY5Prb2iO6/f/RXOAUJFKCMkfodfvAkMhMCQP9SNmRkr7tsRf3493/0mX8vW5I4tsov0NLPL8
Fr8FO0/u/OtklySo84LrQzk5IlmMeUE2cMbNIzwTT21zREr979v6Y6bl6PEnkvx/Yrz+dzbsN5Jw
d+fvTh7YxW8Isee//cqkHT36BKQ+kfarWs+//PwjE9Dyb5zl9oon8XCktIPOf3vu/q73P/8YKPXC
aM4VIByYGioI2LHpfvsK4OCFpAwdquESUCJEODbW+eznHzVFpAoNc7OQMlSp3g7bdYqEyplEXaMA
Fgbo4jc697WtFtA6v2nj8e8fmqF+bfPG9yBU4VPt4bZtl9uKYImMopxpBTKJYQPt57u3AIy4m/6f
ihauoVMp70Oa+MGcsFa0QRWTdszX91IObXknAif7fdMt/SJ2ns0ym+PAJuRT2jjRBLFlc6kvTCaX
YVeaoOnOJlNX/ctK1m2wRLacZftJlr6Y7Q66qgoep1oLeq9nuwxvq2zW1V0Yyjb5zGveqetU5V3L
o5rmPbYiWunqVxklfmp2aSVd2UZ2knV9RfXSYctpXdPlktW8KX4N+tHimW9M+gdKAsB+oiNDQH0a
pE2zYT1G4BHf6kjTOh8ylYX3yWSbojvztajEWSXG3umztU99PsVr3gLsVSTJWbJ/fnkKkvvp+lpz
NMSChxyWwmaerr8WPOwVUfmXgpa8zGNvueRZZAwLumLv5il1fucyn4osCkSwts3rSfClZzEVq5r4
hVdZ05eRtR139NrIsMN3z28SLvztHjXhnKM3NHyjgDe3fLrHOcsDljkefFGBGwnbpatOdbevQuE5
iRrnlfpYSpJ4tOG/hdv3bbOtK4zQDAMCZkJ+vG47LFbbgIdf0gU+p6KRtFX/SyYS1qTRVORD/qpJ
MEjxUZZZjBGi55dHR3wkthYhmmJmhMQYQm9q+SZ8UjnmAZkz/iXQle54LCei5B0CKfDnds11dZ0H
1NKXvOyW4absCVmzCP1aBaU8vxNkhKc7kQw9IOheJRW0wY8M4FVOiqVsks+JWRvpTm3X1slyEiR1
b5bTJXQzrPL8kr8XHjBBCSVDYgiqEnkqfKazpCoW4r4INSHK9wtVKy330k1DL07yMBHqoxug9S7q
FYY8Hy1ZRmdOxtySdvqOI9CjTKaJNARs3haowP48PNpNatZCmtYHn7Lc6To4m322BUQ92wzjm2Eq
xCrivO4X1kazYRy7kjnJhpu6VcUSNwF1zY2ps9o1u05ax97WY970n57X2ZZPv8m3Gp08EYIISTVy
OJiWpzobpiR0pFvnT7PzDk5AhpJAWWSeuAyi2fExuGlZ2W1B4ye7feRtOvxVZVGqtFCcKBMKLpDa
nm4j7Fjvl17ZT00lA+TwAtlrnaJxIX6RlzyRyPt9Orjyri5kg4zq2tpReRYGRTCWUZch226Zf8nw
VJOv1Xgp5rK19XfSCj32MbopSbNtyAcLK3VUn2Y+Na1pVv6pT5gK6pPC9201vO5Wn7dNPHVLh80F
uh7xnV262i67sFyX4GZq2+S8N64q0rheV7Jc1lnX+CRqDFGJjwdJguqtqk261jHjZkZKZEGx0OaC
rKbCW8s8mbruO2FKAaCfOADo5tAoowgoHbSg8ihjwDObbmzG9qOWVhYybkko4YpJMhjjYrrqAKk9
WQ7ZsxoEvhse0klLkxBfzZPnqtsPE/9+QIvjLM6ANgwCiVKGwdLv3KKcy75OMtt+bB2iqDvhfRmK
l4xmfLnk/bBAHSYZq/V9nc3LoqMhc1OXxUj4k3qbdmsSnLlaFOt7Fwy9ug5ztQGEWYx1ZU7LQW7m
sT03cKFl1HJ827qiXN+vlSqnMiJVtRWtHNqHgWxjMlzkiwMSCet5hu24LBZ89CtJfbhrZc/7vdLD
ZrtyTnMAjO5heROmwTJFoZ0LvMICPGDnedBs2MC3si7v5l41Xbs3o6PjjeB29VfOlYmLqqp2rI6D
NKnns1SguH5owiYR70cyUjiZDlPgjLFrLCDK87nhOIVD+5poDYwvtJKcHrkGT5YmpaatPq607l0a
zYzoto8mW9jqnA/dhETx/IrH2Yhp5CJGUbepQO0+XrF3pM+mmk8f+DpszjgNYkt/rNclircaO6k+
JgVf4YQTG3yfvtRILPDT57exwdknQcG1UkyjcElGmABKfpqOVj4OXWBU/b4WTe155O0gg3vbZR2y
UVb2DT1xibb567EPU2ScNpM2PUlDz0YbhVpP1Rh5lnaXVRKqm5m7KlyifqJqfOvDgORxJ9fZXsKJ
SBYVRCR5G4lE0S3YMwI/tGMGdHGeFKXfIn9EA/0Kpw50u0S8dHweT5+X+DivhRwFaju1wB6oD/QE
TyUuVZI1U9fr23FoCECsdI4BxI7r5rcCIEucZXSa4bZzaTg+Uv+AbAPVbi7Nh2JiyU0yq82lWZev
tTvLW8a3FNmtPaH7rhrbPj9d5VIi6pKp3jA1XcIa0alphzB6XiR2lNlCIKAQZRNZDRaklByl6o43
9WqLht2GPuOILd+m2wZ8wIctdB/iGCTRgr0l2byFOHLlllJc26HQBBkFjKez3C7ZruzLu8oUWpzl
U7XpoVsmq66TbsZdecY3EZe0Vv2+DLTj+zZ0I+/jBfUC4n5HtKMOAKIZitktRahgmA6899Rafi6p
rga73PJ03DKVdx1ca63W3H72JCxZEy3edut7zZqtPtaBpTDIrOoqXU7WWlGf7g0PhukWKNVBHZMu
OLyPjyuySZMHBi4mpqrdstuAtHmWs3ZCWvNAJFgw9wnBX+ixKFRRpwKq8F5ngY9lNRQIicywAn8d
9LOlwvLueSUcxWgIuAB0pZkM0XaS30FdOq1CLaoL3o21tsgOB3jLsnAeyxidZZY230sLR+VoW1Jw
AHuCskQUUNNTtZPCAkK2s37XDxQe4hfv4VCo/dCPKFph5UkyBXbuI1XxBQqvxqQBZEHSg5YmN1f+
tVZ9mBT7xIsQyQABOb51IChRAeoAge/nBoXq0WxpNzVQ5VyFDWIFUbSZIy3nzRBBkVN8mKUw41ti
a4udyLJEbSqV3/rU57UtDIdw3yBFCL8VASQJivHB7zsqwME+SMm8vMuyRVVJ5IeSt3EykaS4VmwV
bjnpMqfaMDKMmSKLnOvy7oJUA59l1ALtBJcurQPxMqkzzeNusnP6meQVOZuSQahdqRtbfRFFtbq3
tVU1TpKttJpeiZGSed2FRWNkG3fAj/2wnyYZjteuy5LZRqomNb3ixFGzaxpnaFzMfnBJZOewW4so
a0Yn5jidyxHBMK5uWqpoDmQhir1hdBA3qvKLSGMy02EaTlszZTQBfktSf+4zDWQW67Wa1hVtLVyx
PZ/LJRmirm8LtR+NTvlO1sG8vpuUZfn7QVRpsuPCMxov6E/tEqnU92ZncjaVcSqr9Ewz7nedJdN6
mZiGkFM60Yzt06APM3LSlrYWt4sc0zK4NZbM87vZz9y/DHrfBG9RMfTwRTql3O2qx7SxUWstzfo3
Zl6r8jTJwW7sVyvC2kamtJxlsXZr34WfaF2EzZeMtXacd3CVpbs3g58mEpfV1NPizCdNJ8Md+gBZ
qdOkDkp1bagOyvJ0VC3rq+w+CxvuoeWZ8tCJlyu3I1x6pa5vszeYsntFTppGtK0+H0ySZ9VVI+ey
S0+KMfXTeDXJJM3zfSLqaZBvk4bx7lwVIkvDPXxF8TJqx5WgrFd9mE8mSgOhOr/LErcWy/mU9kGW
n055jWoTl2YSSLBjmw/yFxsMSvbncI4pSOKJA7bQ66EF6jKRX3g4q1cV0xof/nAxyPMK3xGDrt7F
q+1F92kdOsPGi0K5NmVndA4CreOlkOWgT+emoHUVSTFudZHIIIc4KZcoKndzsuCAQVzIzMj01TK1
U6tfF0lQTNVelzxg7Xk5LCYcX6mCy9xEnTEbJ6Gdl1n5XqdJEqyXQlQ9NBUsHVL2S2TtLpOXAU+c
rq5o3uW0el0UUxEmJ1OBRJCe2Jxy7B0pa9vSMgYVYSckzZa825G2LFy4azwJZPMLS1mD9eqiMuZ2
SMOuix36YGiWhUOOChJTlW0vwf4BWaKuMxumF1kP6eM2ow1X+yKbNo3xypf4sH3mg5um1lvKF6NP
Qx2byVs4wNoAb5x642rc1x5Ezbxcob6u0PiHWtInWK3KKJrMhuabeWgrMib/Rat503MjTAEuKRgC
B1METRlm4r7r0NB0e5fnQFrxFNJFd3EeZnIIYEExdMN7XzRD3kBfQbba02xYBZ1fhoXetpzD0u16
o+BZWIHjq+5TEsybgykXbJaXS4Brlak31Ywjxa0osWE3YQ8jzoFAxkd5nOO8+wTCLcM1ObdW3ZRS
JIbHYjIggKJWZxS6ePSeZO0NXqmLYBMu8cuDMgZ4jYsfMa6Rq9z+4r0sX3KSu+DmUdXB4favSj7c
B6aAlS81a2tsgDZBNn4qc9Xm7jRv+AKhO7biAG+UMp7m5AYNeGpNJA+Gsuvo4WrovAeXnjfULImM
aJmNi3pl6sFCSyOrK9zCWnBsLgbNkYwmKsmygd60lgwXK52S7pM5aNC2iCDktYNMGcvRo8WtbdRE
z5Yh3LpzcjDtwT1UUlbQjxI5njiRutqEn9WSwU9T6rZlMpEpXFxsR3R2uwa5GPwFJOWbeg+OtA7L
gF1CyO0tNHc9nsNkg8O7ep9tWz8oNFinFX/YiluhTwIim7I4X5nUc3uaEjBa5GTKB4uYNkW6MR/9
BPvmo2bdJ6rSBu7TSyBWCO9GgN1XPbjs7YVs3D7EmIb4qBqyhUO9ym3/zaDSbLodqrRK832Thnhv
1nGa8rOyXzT1l/zgK3nRG69PH1VuitFhO3POS7wEFcBi8aLNS9T5kXarIrdAbkU47tou8E0ekz5N
sLgsMoz4d75qwW1WIAxA2cBM2XCubbqF84D6imvlMqgi3JcAi/NywU1fzfbMC0vqOq6MqOoxSvoU
tCE1dMD9me96fAA0yuq67gb8d6knkGiSTBRUUQcuv7oeS5+AFJhcgdVpltrxvWqSGV1Asqyb708G
qbzYz7xjyDChy6ohPKlqlNj6ZA6axPTn0qBUzR+Imgvkm7SytizPHunkwleZK/ZDVqHf/byIHkeE
z9oigzpO+UPMdDasoLA+mcpkfc+z0E7+tuNTNqkzfxB9NmkPFfF2XktIVKZTL0/USiiynHdiUx+d
281rwFdtLn7gT8O+nKABOrBNXp/nDB8ODo77uxxUaBDl1Qpe2QhWNiYCZbGo+iVvqcMdaqFbDzvK
oYdfHUiWlcrKJfuh6VzCztOkW/GO9UC9JWjLwRp2UpTgSxNaovWta/ROTewrEBPysi7VFk9eTDlI
+LQMPVIlV8mCmtcvyDTFHp3tprwh5xtVwIawBBdfVE2Kx91SQcoPE+BZElxMSe9cfm14sZGUdkC5
e6nLhCv/RoDGWpKTOSmCJdurqZVVvwN1QZWINEgg9VGknKIlRzE0MP4aiBVSqabeykYtk83dHHMU
znfQZOEtmGiek5yPF9Mq60S/KddhCm4cwDRYhbXtjPqIfAv/CqZ2hQYKQTYZkrYJkPzRXm4sVZUD
rwJZm9pO7Udllqyjn8Rcqepaqa5dkr1gtvfBr1NOizk5QUXjlYz6Cvx3EIcV1e49GMmp9O9I2hVp
Gidy4dn8dtLANt0XM+Zjxz70SQhq4tSVw1ibOGBrX75fxcCEjQZUhxnNPqUWmFJraQY6wMvrwrB4
xMVAj5GeMJmad4+SHGzZtQUI4hiz72UT6yHdVNW45T+zpFs2Afrfgjfv6+2O5oG9Twq2XZOUBLhj
SZftxoSDnahP0Llvs428SlqEcgq0mFyvfqHtSYFA3aLS1Ns3jy4LTIlMZCSGPRgBPPDhWzoN0tjN
i+M6osyR8PWQ6XSy0UQasOdiWRPDzqeu2aI8DdaNDuwxJ8KHACzz591K4N+CYP5wDd5y23mZY9L4
8XEh6QxKWgdXCW4OHVuTF6suo6JpB/GmPCSs8kA0djhLDm8Iqm4jIXunnBC7Oq07m0RZp4bgZshl
C5n9hCneeJGzdINxmZixhh6rbVvDQ8AFtkQdiRI5bEHesm3MuGumefNJnayszCOZ9U1dn2RFhWjc
HxQCHnhLeiUOIeK9oqdBcZkxXunwO8TXUUMPLgf5AR7MkNwU/R2tnHnMEMBXs5vMWoVd6zSdEQ2T
RZrtArFFUDWCeMmiMe+2vX+nu3va223Lq21wQrYj41j/qLF1w2yDqdegqg6psQAHjF2gD0AkPb/U
EYGOaCI4ToC1QFnhv2pr67+ZUE1h2YUJoORXHyHlbG3ctYkQr7TBzAoZWWWbUYe8gIWtcAIme0yO
z+/lKYWAn/DAf0KK0yUK43D4OXu6l2TkDPRtkd4YTNXUx1zSDY/3PQ7On6wW0Pl7ev79gjj+DeJA
hYaBXDRHvGKZOUKrmiRvu7lBoUhLVPxzvZRIc4+R/byAdKPt/t20bxKCuyVSUxYyinHU0YJzVYi0
8ZV6+5gxpmzdSPtF8UXK/Sz6cNwXbbK6N8PEl2JXD82Wz7lDagj6VaAefWdHTz0dO0IrFRoUL20k
zv0cj8UWQ4JJL7x7Wx2CagKuQ4zPQ5kgr+fhmMMEmRgWRKbhKA6AFkG2baRoeTes8dihs9/LmltJ
ohmpZYmR6jvcjvhI6HW+cPST8XSYZ7WHNPu8EMdmhOEE4URiYoJffIXHU1bU3c6zORivs77cMtP6
AITaXjbDmyUIB4FTxM8Nlf9oPUlgyO2fUuqInNUz0AgLyXD9WPbmNOuKiFhkVhu5Pk//ErUmCSh/
ivNWCAwceBe/Swd8SsBEj3lxfShLAMmbNXRZIS6avtsKxvMCbvnlGzeFQ2D8JBCBOI8iwGge8ZnT
ss65W2V5ppvAlTLWda35R+UQMN8Lwd8vBdOFmODhpxhoMo9TXZ2wehlSlZ4doMgowY7Aj1hX4+N5
qY5ma3g7TmgYDOO3nw0Yhcz6NL80xGdJMbfmMylAUz+GFVPlBhUdr7d2cgrHpo5JLRzTkXYVJh1R
BSjax543s74tJoIk+J19HY6IfKNwcJhQgcHBHcKR2vCbrac7IwTzIp1n/albGcn6Eybn7ZTEgGOT
g/21XxsM2mPbp+B8TVQnK7rYyMvU0/oSKAJHg9LYli0YqSsmwImQ13Ui09SeLcAs0l4nc17SeYkT
hlHYh77rarRnrmCi6U7qaliZj4klqq93oZOgAK/4TC1Xr81hzlgqNEn8VdLUtJtflmk2GhzlGUaV
U3A1BY6QnKEB0nm9q4KihYs8Aicd4LEsKg9wB51DiCKmHtLroQUqH7Q5ZTVDSUHLusGTaWQBgLZl
IfqXhg1QN6CfGvQ176sNZAYHzNViaAu7kTakax6Vva/pGjW9M02+U62uiiH6SsV0KOdZ9AiwHpAd
Jn4T9Lt24QYudDeC8ULPUyp20oYWS9Ylup3xgmCKkqdxNdc9+jzMGaqiuuWA44Zfq8Ub0Z4XigQb
SdGPDvzvcugPzbT0vNtl5VCDDgYzpDH9iIrMhzaJg8GmE6mjjuNUE3ttOtPq6STtlJDdO7mYcbXv
MAfZJm3ApoSpa+t7DDfe5S1Y8HQHP8cxh33mOkqLuKYAw78uaIn78EKqeWIfqZwXH16DzkvaN40x
RclOiqYPCDp0JLTZxzhihhn/SWMX2HY3zWx1S0QCMCZjDMhIZRgvYkmmq9L0vl8jjMmnHF2+CR3m
tXlG+lNBKj99UqQul2yXCDQCTVTrpna/NGCEgiEKD6PAxxzZYU6fqquwRj0p9k1WKTYA3T/gPxDy
G35dGr8Vw4NrVA8otdFViVbSGZzUaaPREVVTZNjUamyDlSWLpjIYzTsUFxvetI0Jqn2dy1RGWZpO
N3LJZbFb8ik5zcXIz3LC1/PazeMZGBb7VjvF4tnI7FrnviLgskf3LoFTn4lU2j5C9GWfCtdWv6Qk
t7vZ0AQ9csX9KZpwUF2skZdhSz7aEuHYTK26UlPe7rTIMliXBG5f6FmcFDYfXq1F5ckJugV/Ei6E
V/BYVX/O2uGGUdFeOhGkl/XY+xPZgxrHAZn0bLSD2WVmCt/oNutw3qDNv+R9l+yqrE2jRTTNTiam
uwhXVu+XpMF0ummlwKvDpYlF0ej9hFeeh+gTP7nZDqc4j5F86UxZnZYzrdZoMYXcZwWxN63AzCCq
QB31UcBtejvNa3hXBY0ExTDU76aQ5SeEeXIhiMnyyAYBvxKgD/fO9/iVXKGTNyA1c5yj8tx8oRhB
oc+iLX07siLL9+3SBCe0r/3bfhQgQpAKdv0yDxe8d0sZyXoK40SbJAt/yUdmlnOcjBg+90wU9MQO
rUf7ldfZEo349dF96KWud0ESuIva4JjETlBfvJlHXqJ/q+2l7D3t4iTM7B0p+vZq1oJc9opuHprI
bbabjtPFDJj9kuhyPAcrH1zkJc/YLkT2+0KniTfRuoY0QzvfBh+mtpvuuyCYY5bT9a7vC8tw0qHF
scZ17eG5WdVWEU5yuWHXrlM5X6gh7dKI0Da/XqhGIkarF48Tr/gFfqlTtRdu7tyetQO7lFU9R2Cg
38tp+UyGJLkWFOEz9oPfgfIkeZTO9ah3crH8RGjfXLeZcB+WdgZWJBi7p300lDibUcY6T2UbBQMX
d5iY24izqjm1IDAiRmr/ZqZN+abPFl/GpffpbZct3S9ubmsWdfMwxwl1bREV2B8mwSG4QATenK2x
mMPptWF9VsXNOhZ3Rd2uEYZP9Xv83KuL2nakbwyGG+ctc2E8OJJciLwRd32o5qsCc4gR4xAxYNHE
R8kQdOiUh/RKhYHNo4qW5s4FAFu7ELixiGTRd6/VpMo9Er1SsclXfeapzV7j/BDOnEyZu2W2aU/H
YaanRTuqO8eT2wn9++3a1Wt42rViiYquTu8XKOQ083oYTgBPlxvvjEwiJzpMksvURyQbx3Nlyva0
Az6mUap7c2sabz7xueXvCpfYT+M6rvcDHHw3asteChx4OCWoFLtu7vwNcG8QyakZrwLXlx9XYptT
XtEEJ8ZAc19nCxGoZTMyEinyEDyVLNWZxsAobvumOC3l4G5x5oxj/yO7oKTh+0Lx/gP4wu61aTJ3
RpfK3NS1Wy/TvuhOZo2Ui/a8zq8bQfyFG8T0uukT986FofjMyxHJgXXLeC2WGsEDru0V5X64nJ2e
zvNp5hZ8UticJqoWO7TtOPkJOsacr4FLrpIkc29WFma3ISidD90a+nco+OkZgk2/XGngcbZK5fvK
JPIKk3fKY1+baheuS8Ph767Zr2lgX5cYDbxOZ9t2MU6skL2biu5D6weRoulf1ytnxHCJA1QlWIva
vkv5amrk7Ho+4boMzyhmkfHYruJVOKYcEwMXfAkShrNxV4sUa27ipZ6BwXd6ANUeXpWSj9qfEPw/
BiofVaZNrqagTV+D/amuA7E07yvv7vBMCgI6p+/7GgimGHRxPZsCx0JlS/MLY1v2cQiSYYqrbCIv
cQRpuM3ZOHanGau4iE1G9aVIrAv3htSNuaizsN1hvizWaMQcfheatdZRsXozRjVPmmsb4BzC5RJ0
GrpWZPLuqjMjBlB0dnQ6b0RXv+KzCN7oxuRtrGaX2ZPMtO5tkeZjfYJR9JJd1nlp893/Y+/KluO2
1fSrzAswRYIEl6qpueDSq7olS7Is6wYlyTEXkARJECDAp5+PjnNO7OQkNfeTSiWWpW42F/z4/2+T
M/UUSk3GPGcfaSnXexv3k6r2W+vh5sloYJnhuGpiKfmJAyuY2syL0LlktFNMX4DiNDLzlVc+LtEq
bCbcNryBjJB5+eKhRTzPAAjmJ1pjKp1QR6ZhpiEap7KH3Omg5zA6UWLcvnlcfcuITq0Z3USdCIqd
e4wDMBX7sbX9lFdaUvWQOCVvoAwq22RKJ4eVLc+cIDEPtQ81T0qqoP0grOes+wUDcJO50UjcmyVp
TJ+RCfzCJWpRTnMI99ZcAHE7NWSuM3jq+Gl2rJHNbWudMFl9XP7eNV0O/Kjjm3psILS7neegiefc
hk3YEgD/UmA9xKBdM+VZ0hWBp9rqhldgjdOuB/ycrbMZ+9TvLAipSDX80NcBFUW50OXCa8C3eWNq
c/BL2GTzMHarCFBdM3lHXk4DaFJFI5uSBax8OJP56tDERFnXsECmUcB9QITAEp+8wZm+6AStiT8N
luyFYJ5flLoiimRo4SpHZNAMQCK3pFEV3lsnEBEaMxXbus1QSWf8gHCd2tTvKEJjHBbV0A4pLUfP
JAXvIi+qioEYQenFc3SoPoJk7tihGePgtdT6ZV2r8mNZDS9lMtAmxZjQPSzQnBQsZtPexebhokiE
E2i5aD23lrTXya/VTldTkg3jsA5pBPnokHYd7R6mvg3zaQptquI6QH3Vc/c+l2zdRaIFvVgadgHz
GbuZZ+Qy5is2m+AukZX/EEHYNOW1BgaF5wEPTAqd3vLFEwP/MIy9jAsZReWNFL14UKOcy0KZUrMj
0OwySp3OJMdONGNO+rHd8ZHRh567XpHMlThzRp0L4SY4kwFkqiglSPUEY1FOCNOvvYrUfjWEtKkb
YRPO3USPshi8UFyha1zm4zAtLE3k4pps5GWTBaHUQ5p4HYO2FUJNdZQhTq6wAN8fVoYABwY+ftw3
4P3yCYtySVfLpyt2eWz+dcjbvG7QX+AjsHvsOvVORUmYqX6onpq69F6ACJodxETJXrhJt4uGqLlz
GnfKdBdWz27ffWwbKNRKDG67iLDms1jILFLqC/HZd9l0UsRnJmWTaeKsBmh7YgPBSZcukPfa6AxD
uH/bYCw56cWr33nlRy+cld4z9/zlRoNRzukwiqMPKPsJpADhW00zQ+o37ngJGfPRt6I4bg9h8B7w
bUi3fbft2obIN6Fjpy7asAZBC5BbhMee9rXI5FSbGRzYKgBiRkvjZX6LOpKGTt3QSztI8lZV1cxT
0uIzpE0bVXHG8b4ZYDk8E5Ud6LELFYlyjPC6ndBr8fLUDWL+NGBqqzI++L77go13mdLEiRd9cGYe
5vPQOId6pOTjpmfYeavmKq2tM9xSapo3peMB2wMmz51QDCotwah/A0pxOg8WYpd0KtHS3BiphjdO
ZlNnEvCnTmvdmvd5tlgrWJSY09QAdPWLBpumUzCFuugb7Z8AnpeQctVmRTMPOeuvAaStbNdF1XwO
LOa31EE7MuctGx1aOGMHLbK7avo0y7b9HA3aZFz6Mm9dZ3Svaom8B7B+cQK1Enq4NJyXqt0vaKpO
qH79Upixqhq0cglaT6hLHHH1q8VzMsU2haDtXDoU06DhfIBSBg9RFlRd1QRc70odguLpeNZwNGlT
sY2xOmN2rAl6ar9n63MvVc9vifAWmWOqYBwlLQnFOmSTp8rW7h2XNH1wGyqfxSn3xtp/bSFndfpM
O7Fp2A5EHjfuhVciFEmGadsEQ6rWqpMqi7DhUptX4NXiNlVQmQc277VlHT/bmAHSyaTCADbctRqo
lZ8ayM8TtZvUMNbPZckDUeYLlgroHbiE/H5KtRlFOO9K9Gr9UVXK6b7KURpNiwq6rK4v6AgO8IG5
BJzQfoCAa+7zyQaO29w1auC4D4EDGZdqoLAGN6Ehv8fp/9o5SeTiOsqmt3kyVIY+04mS6uE3ENkZ
NiJkbpMNsiUeM8MZHuRNUgAdw8bPYB2u0ZcyYK4J99B7r1hvoyeT+rMalsqp0j4GAOdgsmXNEmKL
QDmen1QFQCG+mdFQmqvbJK4NMlVKNfL9CtYNdwtbXiOaNz9Wve5y2s7K9mdf4fTWFKlVhMgMYhy/
Yw/+TIc6LEIIaGv/5Co1WgF9VD2jx8HsUI67YYgb1GNnFjmHOupCIDJD6z4kqJg2qdFExcG+nqPO
2gHosAbCW2eQeql2CYqyN0HdFsMCJVAC7KAX8c2K1i8umNOGDOycZsmgUi8Yk6CI7OoHe/CR3dMQ
q/ajA9XPnBIBU1waKKydAiqY7ovbc3RZUOVXEy9EKJMq1xP0MyZdyQhSdA2V/ab+PyV1qe8oVLsH
4NP1jXCZn3ESqkvjWdsVg99BRKYTENSD0z40iVmi44gWLkr9frBBavqF9/tpdqGuNPGw9DANaf5l
WF3GUVqDjqUh9lGVz/5q72XtLAYNgtMW6EAxIbJmoHQ/hcHc5ayLzZuzMmOH1CuX0buPec1pjki2
/n1yQaynstEYDfrV0ZhGpsarCrQTkzyoinL9pXTMhrigoyZ9tvKq3ME/ppmz65QXQzRExqTPmBsI
UQTWlQdPiuhzq9sAgGXESCkyAIo1xYQaWXnt4tBVOXGpmp8hyYCcI50GqP8yaE1GjQbJI9A7Ady6
lpi8uzQY0YdfDIhAky4+j4qIh+3JKaWAxF5RmD6g+Rs6SEqIVTKPe5qAKnPmag8/BW5MZEon9aH5
O4xDOzaZAmD2tkJIgWeDJR+U4wqc5zrsQm8wdxY3Ow8SFidFA83Hrw5EVQAPm6G8cVCG5QuGy6X6
EDXdtHVdPqkP6GDC0xREtH5DifTt3tdBcy8Wn10g3yy/lJOHKx8vq4GMjikgI+tam3So3eVjbKi6
W6a2winAXgfWOuoEqmnUwUTBaXLvAT6M8qQRy9EDaFHnCzQ7nxY/gL+Rchkc+qBpIJuc6MPISrGb
Se8+h5P00iSCPrKa2hXOAbnaFL4se4XXk9Q5UVLDbNb2EO4ntU70sQwnqOZkv0KmWrLF4OMm7SbZ
wDScDX1kyQ7MFfhf14fhMS+1r1F6Hfgw6nQeIsge/VKOaAp6Ky++GtRNSTwd5y4th2gHgcbwuJho
hhp67nGWUClEL8FUxWXaoQG/HZ2t45VxEPcpempbpyFnCWQyfKyrHBt6A0UY4JK7tQMCkK7hMIQF
1xD+5b7b1cU6GrympJD5Qc7SDbn2h6+LrPqCMGmyZab2c4Rqoc9m7qchb0cd30s6zQqHo3TEQFAD
BeqIuPgtI+e4ankE+RKzXTp5LDk7TkXebFvzk3EGeQcNYZNBm0Ze4dZRPfiPKLFZTWUzZdES1DZX
i21k2k7xzApV1XGL+jv57bnxiKW7OVzok8OqwVyBXHEfYIDobNoOnfe5TqDESDsIRK4Cyhe3iBZq
MRQkBG6Lkbm0KzqvqR45NdOSYd9EV4f+PK/8aYy36xbeLv4CGNongl3jtvOfR6g/ylSr9rMvO/E8
zUKkiGMB9gilJwRcpcYj306fS2dxS/RWxskcdB6XScF2JIG7vPSlco5Tg0WdTzWPbmc1i9NMR3hQ
pojfABeIDg5z4ycgxnWEx6AM3way+oUJXHmvJ0uOXIqZZI2Ol61bcztIenpAPJGU8UH6VR/ma+Kg
cerqxOx7SnR7DxdvnU8At/IJj3qQjT5VBdoX79xbUUGzuHjPFbPmOWGzlw5SubB0Ul50ccu+Qu7s
5gEN5o8x2v29FzDvTUAZ/+ziJTR1DC4crAjP8ALFFwPxwX7QM1ZdrF4hnJ7vBuValsazcD2sg/Uu
KR2OjsYLuj32g6nHmCH9PI4gmsGrb5aRTJ8agB15bDCojPA6r6mpPPHkxG3w0FR+0GUBUP3jMPQe
KDooQLnvv1sF9H8q+AA8aHrDBsU7nYObh7vqGROt6Ib7KZAioLdzU42o8jKON83UNMKXDfGCsU03
gmsAESpuAwuJj90vBB4SkvvCNXN1dFXVNesRAnM7f2S1Weg77QPBD42IuznIWDC5s5PHmgbLhOLF
obIB1wbdRpN4dejmEAR6K9rG2LV1NvFwcs1RWQMUMw2Jobsg6Jf4Jez7GUVlHHhrWtQxWrk0R58H
/UTu2LAsIbQJoP2CTBptPNReFh5tLBrI6wMKiWo1iF/d0bGRzEG0QkBYyGGxvAKTWpccKqahZJu4
Hc/gCBqkbMrVHT9oP54xwtS+CafpScQL000OgjjG3AcrU22aa9MIqUQuF4QUeoU7+EqOb4qv2rMp
3mWobbaIAC1Zug4VKsOBwb7ZJBkQ6+1MgrB0k3ZflUZH4yfllCuhac1iju9Box+F5uzMEgPzubGS
tWFm3CSO9O7v6bkfGXKwhlCAuKAONycvCNjN8P9HhQSgsnh24V74tRPD5m3Sv2lcfNpPIMplVAUK
kjTtGgcGjLoBRfcPH+BHunn7ABAKwLyLRDSwhCCFfvwANbXwRpV19IX/9gG635QnHU9aPHGOAC/2
G1P6PT/h7jfm8bccgHcxwFlTVt+TXf/15f88ig7/fksg/fdf/vcWM/v7K/7n8nui7N/+1P5XsWXn
yJ9/aPs0/3ovfJjvn27LUPjhiz/FOfyHwIbfAmr/wzd/SHP4IWXkhzQH+Mxwe/+lBfhTnsN9hQDX
/zrK9rX/8hcv/B7ogGwGD0Y1bwveDAnIdBDNvwU6OPhWnMBfAn4oAXaCW/09zwERqnjFlp8GXgyK
lD9EOgR4u4C6Hu7/lvTw+xn+cBuR1vv96x/iHNyfBCjgluPtGYYbeyP5/+SHHyeYdrskEQcnkhi0
bSUeEky2NcxySVdAQvkMykhfWmeoUwxBz21JnaO7RFciFNC7bq14Dk1x9yEB4nbXKveJMres062/
24lgifNVOf5xgh8qCyC22zXWwGgpo+sAwVRKjHfXmGV6TfzuEi7txXeWPZsHls8TTeDC7iiEVSoG
1Vd/Va6qr92GkIzRgKLfAz1wnRi1nZIlrd31jCHhLvSknybT8gqew6SUY3gNwChNc/1Vtg3POx8W
q0jE18g3MClEaKrK/mvC+8vi6XuGjS5FBwJhIr8ou94FjT27JX5qauC3rupXO2AIgnfrnc78BHji
XUQhtnW5Ey2D77mr/E9shB9rikOo8mRSCMlARDvx1Zv9Z67b18hdvZ1bLvfuxC/bFZg7FecBb782
UE9mCIhodn5rRe53wMNVGUFVtmhg4st93Jswi0lYHqc2eV8YT/ZeFRzK0p65IuK4InIvg1QMF8Z1
s4DWJ1IBQzTcPIaVvV+G4Lny+ak07es0Nq9ipdcI3UqYhoEsApwQOqavYrZ3QYt7Zf15BzIasETA
T2ugWIpNrEt7UmIYFLhQiHBgwO+nGZ4itypqnsAo7WhxnlHKi9LZrmXVvQJdha7crlDpL4CZt2MN
6MyAcKx3i3TvZrLs0fefvbhEF6Pd8xAJJ9O8+uq3+DHq1RfwWWeCm3OIBZDiBrRnKgL7tDI4rto5
BJAG5XPOJQ6k67gBTRqAVKDNSVj4F4MRgkRqHoF45Mb2SwYeZc6ZqF97YDRFS8x7LNazJmWdNRV0
tnyMnmvjvsWjf5uADcnCBQ0zmQ8r+JnDaPTjOtJDXQ9AsSb/UALCSR03hhV0xtym1HoOAdQXy4L7
CR+tf0pAJBVm3XZl0vlokNwnmHffE3+ZETmAFmYu25MX6cdxUo9QyH7tEM8AfbOYc9WZRwinMPrU
87BrMQkXa+hUmefVdfbtuns9LEBJ8CzGvtlBNXAF6xvt5u11OM8UgSl4FP3wuY4mewgNHkfHM9eB
OMML/C9JFjWVzYHHa5iD8Ni1pmSZHQOa2WTWhzGy+jQKqo+yC+MjVKnOLa9sW4zr0N32zmB3btVq
kB+jzIjT+u+zJ1+Q3BDeeBA0A/EyYAUDNI4A1vOkG31IldblFQbdyUkxycHG1ARj/4Q0iqfOOKHK
1wDwB+aROjMV6M+ev0y+1fBst4WpIChb/TofZjsVY4C+LofPKmyAo0zlKRZzk4bReG2d6q4XgSgW
J3gCHlsCL6IUIlz6ano7vfeQkmBVNhXgyTGNI9uk0DGHUAt0GImBf9x5M53RPuPxXxvyLgBBp3Ls
hrTSLogZ4u38SOC+WSwBteIxHJnn5gZ25VtILNUekiWWQtvyHDnhFYP5cmR6+oq2+hyE/PSHTecv
6vgmVPqDXAhVPCFRgmwNLP0IasLt+38QbdZNiCl94eIA39Nm9h1h7IzNtabjZWXQIvz90X7sP+i3
o225NsgbgvoMGMGPR0uCRfWhjfpDiaWe9x4/gQ2r0hD96j8caetkfjov36cwkMLnS4Ci/XSkJYqM
37BBHMjMX5ONHdzKceMtNvNlKsURf3L/obv6UQD77ex82E9BV8Resv3/x7MrfeQIxJL1BwvbF9QX
+hEuRWRG+MFhgbcC2AjKfrueJ4nq9vcX1v/Rw/n92FCiAQb1kPjxs85ugNUBg3TcH2Q3+XkjuvjO
MjBuKBdnYHn84CbmfQFmueOLhgVOS6zbBETrVNn3KoT5tF/PqsS0v/r0kCQdkjrUVJB4OS8hyncc
kiHjYGRG0Vz6cNp1sLSarnxyadXloQmuKm6hpBEi2VMqhs+Y48MsiFEe/v5M/+IR8hE/ilwq9NLQ
Kv90Y0lbwxIA1uJQEbmDqeXOTda7bgUC/g/H+asrGnj+1lohuQSO8x/vZrJ4cK3F27OatMFRGsBK
Xo38FMziaR8mTS5jfplLr/vQansXzW73oSqxhwZr+XXUqMtbq9JwNBAeMWe4P0EALeoRdOUVItx9
FaPcAzztsrKswv1oiHkuKbF7iAcHmINsfVbuJO8BdD+ZCdu+InVwmusYurZwFuegr7+ymkItxDGA
TyYWe+M0X5lAhEWpduuMKQvCg0Nl6aGq4CIquxXe+MGcebQZ+dV6h1AryDkI3juJnZeJcptFHnqs
v7+Qf1FhIACNkwiK7Aie7p9uGGJGxBg4fn9YF/hK0U4YVDY6kDB1oPb7+2NtA9TPq55CuYa7FUFl
Qbbv/6GaIdgAQUjg6A9APO8DWZ868U8F89tK+ukYGOOQ1rb9NyHxT8eoq5FD4eX2B5HoYSdrQ7KA
re9bpa9BZu/niZ04CQ6JQ67AJqsi6oF0GvZJNs1bHOo+JZ2eIP5q/INusIlDlwW+18IS6pVftxSt
ImI1P7R+uKYN9ZdUuau8aQGzg2P6GM/4azjNy2NgMfS2FH0LooDmbEyQhEAmUqV+MpK9MgNgYFJ/
pT0ewbHmF202Lr+0WRw2aFA92M+pNwBrr2rkqsz3APYrADPr+R/uyV+sWNwLqGWBQmPmpeTHm9IT
qEmF7fqD12JQ0FVXZ/itG+jgHY5zrnAFarRbeWvja0dDGM/l5KYIJgFWgmeZ8b5wwh6+cLZZokJP
5KpynxdAJZBYRWvKNbIaVATyk9Hrlk2Q0wmVCNoFAT+mfUJizPsq4Z6J6gcoVtBVgavIJsfseeU+
WTRi6QAQD1KbZZ8My30JuVjaTHg+gwGFT4YatlkngIKeIVqG0PUJogp9+fuL9BeLBHvG9g8svZje
frpGSzlG0EDq/rDEfY4Wx8BZhI8TuApUSfkPdwRK9j+vkxi7MMoa8nfiP61JOO0hpQ9Uf5iI7MGK
SJEDWTox7FTgpGuYbfFIrhYDkiYoU02DDrBsL8AlQZwIFqaiTwZEXOmxSMK1gzMJREtv4zfJvRtH
x7ew2MqsStDtm174MOTJd8BX96ZFOFK0bcZ4zEqfv7Jl61IXQIqrexlVD1GEQMJOPRd6hodxxi39
Nl6ugfHzmuIHk4mfQmcDIYdF7wamAIGvAMhMbO6+DUGsRzjPMnNx6tXyWM8YJGNeqmwdMerRdYHC
swR4GSSQI+pHwr07wIYn30e35kUqr3tu8+0PToe/YWAzMzYovfOCSRbbMpKGXkW0PML3jwGCcrjN
wsHJ2hHdEhITgEJyiIkG/PTk0OexQbIBwqDGm4Sa92mGT1LhAjdtfal9zCyJQSuOkL/nptL3YATC
DO4HeJG7k6Ob09qBbZ1KLOB5bk8Yivcdw84CWgoPJlZHuMyX1qMvlVz6E/foVUud+2Sy2TYYAeCE
mX6cxBmxI9d2Dp7JBFT7H57cv1je6HUQoY/QLDxRP4extNZvRhLQ7iAj+95LfS9d7HsaYxajWNZb
//Vt1BbIFdhBzoT9cFvzfTXv7CIXWMbxMmj0cz73TZHwBCAmTGp5O5dgg0jcF4lR9tB60sGAxjsE
1AR1MfZt+Y5EruQyTCDw1hL74rxWyQ2SJtDlR/6VOKgxzWyfIPSE8mhCpEXo1iozJQhvWFSuqsRg
iP2w8gVuCDx5x6hRj7NGBZ3IfD/FGEkT1V60UvcBVfVetKEp6on7+YhsB6i0HhvQcnkH2VFKhX0P
JQgoKJ3u4XVoDnBrXzU2EQyZ6tEPzd3Wzc/R7/vr/yNsf5WJ/R182xJFocIAhPU3CNsffjPGv9NS
v7/qO7wW45c6wQYJrAxRuHiz79Ba4v7iwzyGXwYVexE6+hj18zu45iO1GN6yzWOypeB7W6oaTBFb
Xqof/AJIH78gB/MUjX344f4vABuA/p+L9OYo81Dj0YQiQ/nnBjSCVdOpFtofkfMjPYhUI1Y2Gsz3
spB07uB/S6GLJ8vNTKzNOjmibknj7xE3ER2QTlZjATIJczDGvqscgxCdl8sLxDci3bQMJUK4Jr/o
ytA8I65qHHPrU/81KXvvSAa3zVRCl2xEtCH6kegLpEXzEblH5Z4i0hWKNT5mHuNVtoKQ31vtuhBx
+PDNromRO1qBVWr7mLdABsVzMIzxK0Du7gjN1bpz63CnoMbKXYDdmYZg6dabWHzoIUp7JJWva2iW
g7kE+xWK58pT455oZz1J3WKtlyQM31gMJXtqOqCFaTeV5UVMIEZ4M8c3BnvJvVomkvdt9EErL7m4
DSwUcVeWL20FkXUCScphjZTOeY1Rm0HssZ8iDG5LHWQI4bIfxCCi49STfhc63Kar0t5tHyWnsuc5
FYbfOTFzUvDiqGZ2gc99Y7IVH+nD5Pp9sYyBC/1NECBtwMijkqsD2evqnQJeOSe0QUPBybhmldOs
uYRq/jKGCLks4HZwIHPEmODVQ1DAjh7dIB6O7oPB63aQ/FO8q1w/DJrIS1Q7LAV29xiazrxbrsJC
LkjnYRGXH1ZIPtIFcT67UAkYlAdj74O6id4UM+CC7QsYV7n3Br85KF2SPdL62JOOa7FrGhZ+QZ4e
t2gSSXMpEWKHejmYKjNm7oq4a3WOWAwQfmBrdmMILhpJW6SAD5akSEqD1slOyRvETMvXcrHJbnV7
E2cj24QycDXCdr7I9sY2w8cKpg3Q58K+Opj2MFet1L3A0avPyFIjqehc3OQ6qYZiKGNkLxEW59XK
4xNzw/7W97S4tIv3ERlf6OIwZ4+HWAn+wYjROSHJRt+SbkrOwViHoOrbAMRuDat5dFCOqu0OKusV
IiuwdTxblVlOYb3uECuGIIwV+ZhQowxxRryxrDD1km6LuWggW0eGSormye2zlqguh5NRk7wZyyiX
6J1gOFu7O8fBEE1HnlaIALhMIXkV7RixmxFqteo8eO2nENmhCEOie+bEnnOEOAhJsvt29hsepTpZ
+uR9hT8fcDryFW5XbeSdVCTu3jG0s/Um6IFBxbP6SAfj300x8hFVAb77MWASu+ikvKJsoSteREQ6
GAxka/OhCof7AZENzZLVVpeHIYj49JFAacNNTl3ez1Xeh8jcOvWSxtLJO9oQ9xaFEte9g4h6x8IG
w38hSuZ+XqtxgdtrcMrraKMu+uQiuHacConosA+9SRT70jAAe7RekxQVLq28wMEArcQDnlzKU/AE
Cr31FHg8M7qFm8Kdk+YtAmPvHOJeu+JIRbs4qYiV4rlGSCg036ZSwWUpu+Spg5bvlXvAgJCiYb0S
sRSzC/HJuJi7fo6CLzbwZ74H+KuHA4bdqM+1UydopjzGkqKn8MGka1tO0Owa13v0yxWxolAlom11
l6EGXRjgiDNnMOuQRHYVLOp1A4kw6H1xG8WWiDBDQEnlz2dkLFE3F0IDmIwMiE8XbPit0aHZgZLF
l26rm3SiuMaQHTP72MIIc55CR04pF5AoZ5BFLIAz/fDSJ8F45HWCdW8oyylvA0TYKT/aQ1dT7ftI
x3sB9dJdT9qbtQRDBEqbihtT0erMEM60QzQGTPHt9ovCUvg9hzFX0OSkcxOSUxxNe0SxNttabVC/
yrAu4GHynZ0bIUkGQummCIlcIa1cYIsLnb4H1K/EfawjdDDhqD/ThhGok/3kjOglP4Wv3suhwSsx
/M4rpB2rat20g2DlfbTjG/ao6YreMdwtEfSuta4hyCLu6D6Uq8d2xm3ijxQhAx+CwGHYHPr22MI+
cSuQqLhrHeuedO+y95WEFKCWl8POXh5ROtkBubnuM4+8OocMP/6M9BRkhs2MDIeGjuYcrdF6wUAa
p+VowDZBzvECk793oqOAqaE0u9npIdOa3bWBK7PyhhRiS9isLFvvAPE00PclewmJDbK4xHy0oVZ7
GBPWPdUdHVPAicjjlo7OllZUt2B+0fBOhsTnGgKwIiE+yPMJBiDMd+bBINk5JV69qW4ZLCi2XDIN
FqwImqTchziB3SDB8qTeElQojWvwjAyiCXsh0oZfdUzmixet3q8adM2OztBlcI95h1CO/ifH4Hgk
gXJx8GS5a+oB+kzYw6/cXcYnhXV4UXC23VFEBd8ANYUErOobCNYNUu58CJe4oGtGAagf2lW/QJRW
31iYzz4xodwrjAIJ3kSG6AS6FaLKWLiQLfvuVZqqm7MaK/+ONpHZwxw/vQI0y0YZ8twHbfEBaKeB
AAyKsWOXyOTDlm1y9hou3pBxBcuP6dyCW+EeK7f8hOkmRNpR56J5iKDKdqwPKpFPMQwhzrPpmVsE
UNJeaF27Z9+Rdbvt/mNuHH+Ad6sKMHB680cHXiYEnclSyjSITAFNCoRm2oQJ8jndCDoc6N/TvoRb
dew2JDeFtNMr8W7uEq8+LIsKyvNcAGB7JQauEBNUzZpGboNKgPRWOEx6vWUZPfgI6imx5ZUdmPFH
Gdqh/vCtaf3//v4f+ns05TFgkP/MoB/7L2DZYID/d3f//TW/d/fBLwCekEcQuAST6R8a/Dj+xY0B
toQIh9hI9W2Q+J09935BlAsIAyS6eAF4EeB7vzf40S8RvrG9LAFtQqP4/9TgBz/KQYDZez6klUkI
Np6EMUbZH4ExBRtcvaJ3OTJ/Nbk/tu0rCisrkY/hIjq8Ql8BY4yEbkyCGl0gvifeTVhN3WUNGayd
sPLzgrm1/hIpwGUQh/YvCcg/kZaIPoK0VjldbgSbd12/9v/L3pl1R2qkW/sX0Yt5uCXnlJSSUiqp
VDcs1cQMAQFBwK//HmR3ezrHXv1dnxu33XYpU5kQvMPez/4Cr8c5mQw17/ucETJHXe/cIU0Pl01Z
wF7ZyYh9Wu6HTwHep2uvR3Vvqve67fuYqrl8oVjv30ATKGhsquIULE2h32XFuhCWDWIzSjCONtyt
jaNjZwjScif8rvyaGaVDMd/XPFhnu4e/yKD2VOoOoSJDtfEunXXi7EczWVymd8xcd9g6IUn2TlRY
2AjxyXVRBtCepV526xQ8AHfOHCBSMzCMIMo1yvabkEK8tZzll1HOJvLjSt6keC6+hbVq3twhZwWj
Qvbd+VR2j7Mo0nc7s+04L+w2hnu1V2PNjGDE5qDzcLosnm4fPGcGqzaFeCyRvU8Bzu28vABw0o9u
5Sy4UXEFsU6CDDyi7CvHjWrGnqX4KuDKgwerk5GNJ7P+pmVlIWFlMQNPQJySoRiewJjJbS4lG/Rp
do7JQmXIarFszt5APVnMy3gT6ilPTou0urNaqgx4depFacyGLrgNzRo1b4/G6cWpxfhEKdsjtoCg
SjOiLNa2ZfJ5oPg/icnrIDdGaNwWu4jBijHEW1B+Tyx1qSGs8bUqZzx2XlT3t1PSdzeU+Opn1EO7
j9N5MMqtrNzsXrkNgmzEwgWUnQjBp8XuGZWH7lGr+mP53s1FtUul7rwDRtu2ju1ikl+KArTVZkq6
TsRl56QPTRg11pFhTX7NROm82pygj9Hi8WqOGfRPlrChgXWZe2PZhYJSNrbZ0XBWi+rcCsZKivSP
Gd1FmtXVxq8L/WY0aX9GShr9mPop6Pc4ylM3xo4S5nRkXXSNCn+ZNlh/WuNzkUIlyDCXgg2ll2tw
5yzlN1e0ThSPmV3uUnOpt5E3WDwirOaZ77H8NFkyewh0Ie+kNWfnoKdX2Fnt1N1mSeOSOQIneMvl
2j6HTmfep4g05daAnHBrtal71yl3xJSHHPCCpZp8w3iquct5rlkASxHHsorn46GAMMUZQpXJ/7SN
lbL715GaC/8qW8CNQDdNUzdI2+EyLUdQmxODSkTl13lSznymCiyO3eQ/WCGqFYr8ZeM4+erz7qMn
wDGB2kmNjpQieI6tChcM5kc3klhf7HbT1NJ7GoEriXjOrWEz0IVsWCCZF1fU+nb18R1cxposUSWq
hXJOd5Day13ojFyK3C9X1LpmgLNFVZ90Aqrz1h8HnBBBLpcq2rpiGc0nd5FTDScu8BvvQo9lHKex
f3ExBD0aZRiVWxqw6cSi7AwD1b9rhegP9VDaSAyq5SDGen6EB2efRqBO9AdeegpnWT0y0eivFZQE
NLUFHFInqnaB4ItkboNjW+ax1WUXRtHxWKMTNYf8ljGrmHJ+kmN0hzFIGGnn9hvUbC/2CuNcFHaM
ARo6XGhJfowxbTQa/5fMddwTq4p2Y/Gx7JkJyfvcdN+iUWAfWRzUO5My7vAsJ8d0Pa3n0XxtrEHE
SZrwJc/fe6luqJarTTKwo83tYd5YUWnuIaV/0mhp46poX5AXBKc6FN88vjHWgvbVpLneJkP1Asnz
3p+K4mHoms9u4unYnm+CnLV2jQ1f5U5NWxMMmwk5L3VNqbC2rcopNkPhEXpluZn9hmKOUW0QL5l/
B4JUnntH3gxFku5XnunBRgbPVGkuoYDZgbkNojI792nABBYu2/KWaSnv8D240OOs2OYyuvH5tm/N
tLdRWI3N1cQ7c4BRahxAjHE1ze1yQfhQMMBuLRWHSCAfu3mOrs6CzGObgk94LA093ftR/z1oM/Nc
4me7oTnqdoacwnojPFi+HLOdUcchl99zYPbp1qMB2nbouXYLXLUtHJj5UmlWnrOyQOmuGwDDc+XF
jvJHr8c47jgMr3qlMDP0Zb3p66p+UlWSPHp24uIX6XGi0VZuHb6mKDGnbWk72Xulk/dMolm1IW08
2DrSN0ApnatPS/g0TvSPg+OfZVA3Gz1y6RSG+erJjAQQg79koOo2bPHxDZbBN4xA8hriAVqnD/Pe
gaO4H6eg+ukjIrgs006Oy3hLJwfjoYfjcOGMMW6LIQ9w2Wd1d/WqrNrS1pY3CEqIhKHxOTB9y765
VcW9FbUYdoNyvHIRVhdYwwBmvVXvS4+/y30U2bDVHwJXrmFLRX+qF8d5qJhsgmWd8bVN1hcPLc6u
s4zyqUbcF3tDYL8OrQtKa2JzwpWRMeGjLqBod4NmP+c2whzieJks9fkNftEInMk0H5sw1yd/4BGp
y8U/GRXb/V8WEf9XJ/9DnUy/6jOf/t/r5N+C7X8rlH/9Q7+pTEOPRWAQuv8Rk/5bZUpCsm/aMDsC
fwXZ+Yhe/l0pe6TEkdAL5yWwHEhrVOu/Vsqu+S+S45yVZW8S4buW3v+F1vQvG6Z1sRR46HkIDAFn
9ycFgaUYOZhm2p7whMLDLJvUu3f6SVwAd4f/tM7689Cd1wJihlQBcS0EsD/V5EqauOhCqzkF2C8u
i5qtSzE60cvMJ3DbdUu0+91X8T/or9af9wc1gYdE17U5O0HtRKjv/9gD9AZxaSI0eb0aHyqyT7KU
4kIv1mXQrnNic+g7O4xPFgDy3H7++xf/SwMCpM8ElMVugdgbmqc/vnhnmFK3AFNPC4vJ7xyA8Asq
HD+3s7XoK4Vh9JLY5j/9yn/ZdfOqfFrMewgZQ6fxp133IIein8KgPvW1pR/KKhu+s+/MlzjKe/2Q
mvN//YK+xUXKy3H1Ij37cxBOYUIjssE5HTMjaW+CUITbORsiHCaO8QXusf/29x+r9ZfPNSBekY6O
8Go+3L9IRGZpmUvK1PHI6J0Z8Ogn0r5flo7hZDiRO0ItkFu4ehp3RQRa1055zUvD3G7aZH65NCs8
JLgOs43QsIcrC/REZPLW4mnzebbDf7gKWHj9+SKk1V3zuLkEyddC2vLH66Bh9JQW9TAevQAewbNR
215yI9PKBNXcdox+u9SaznBT5mqlXnjWM/fgfDWwGx1R7/r+OZdkmnzMY1MHmmec+WtEGklKRKEA
v7kAeqqzszLtCt5pr6xLbeNBxwvvLdaWRpjG0OhzGEyzvTAG4wl/wZNk9LsxMNsbAaHhag3sUJM8
YgKz9Kr1vobKETNk70WrHdsou7jpHU8/+JwS/hbcYBkdC1MZr0WVRXAZV1/oicKD9JA4kLORtrEN
/cz6wVWqqY7RxBb6bnAj5T6i85wosjPkXL5XIAxGBM+zfD0I+rnmPuXJrR+MadAPUdlBqtFJJ954
3ou3hQXQyYeW3DHTVuItrB31YEpJZRB1C8cX405siVbvvcMg0de2r5hf1yoRb0426KvRGdazNyDr
zhemT+Q62c2pmSP9hqIX0JXvWvCkJOXedXR7flNRuhCpEWDAR2ny5MXGeN1vx3Dy3quRzzFkd/CA
2dR6HiO+tCXsopcJHvG7b/j6mqeoizsGvc5+bvMhRJBgZMhVYWBff7lWMzqlcZM5+TTe5aWW3ylL
jTxmrCre7FkJeZATQU14yPD5oFZO8vpUdljQB/Y1UTjuBthXrxlq6ZdQcJ5uB3D7elfTjRCi1/ju
eytD8ZalGDfTro5uIwrcF1FhYY8Rua0SkhJ9BdPa9qY3Z75+R7T6YaREmbbKB/CKX1mKN62LGjFd
Wy6wmD9WBUBWHOzaDENjiFr8rhMGuThM2/748fm7evCAmDBtyEqWkYjgMrnpSO26fPw3+DybTT2b
BefGQu/J7/qYBYPaTvRptKZAZTfZenv4APPFEZRTktzg7zTFRskJrF2nQ8pamIw9OUN4KfApVqFZ
XIbOl8KLwxpA95PwG8rXOGl1ovYwGeY4cQz+QFPllnmarCFQmumi0WRnCXDGOMwmgt1tlxpzcsWF
5lVxBpxDIKgg/ObWhsz7Btt6+q5gxTCYLuSSP0yzYU+vko8/O8imUQdpEwoUL2bZxkbIPKc14eSS
UuLxOctn4STZKkFkl9hEM3EyFXvgTp9Aprt7/NzOxQNtt1FqOtJC6hsaalwCcOU3mUiwfZJXcHGh
E22wNFmfpWl37J5mOIOztu4NPxuuE4pvNiuJ8r4MYLBdri85kdYZ5fpGAfs7umGb1ijf7JaZLC1D
2I/pdyxj1sXHm3hu8sy/CLOJVgW1O99azVSnMdcua9gF4M2hEcvwPUKsN23Bn6T5los7OrsJKSxb
0AqwD60gSF6chtSNrWW4n8jwYzXRd++NBcunqEzPpYd2OLKRCKxTX5zbtNClJ79nFv/AVH7UVx5z
XMt2gobu6BsJT+lVczPLQbx51rCuqDJM/wHqFLpJpfR1YYL1omEpXIRribdZrg40VU7vug3Tl8Lz
OTBbu3ymbyhei57gn000e+RFmdjl8sBxTqGIAHdEUQJiYArbZx8v6ZIXDdtHw033llOH3tmDNBm9
LlJYX+reMJbTgrcsPDl4PJ2JjlXqvYM5HCmV7Thfl1R5PvsC5Mn/4R31sshOWHmegyzr/n+YR0St
BE/MPcsAKMt08hxmmFtn6qzN7+FHrNjvNVATFKuuTdjbHylI7mzTmxqV6/1KQWoCw/0KKor/XvDE
6j95KP6Sr1E45T2pFiJp90vYMse303Jklw/F9bau8pGPrqbrXiBdfp6DsD3mbhPeY2AxtwV31QG+
XE8/jNH4Dc02tYgYvPDWmXJjU1qKr5VEj36HzM3lsCADpr/0oZxPaJ/CC7BJHguwY7BIVr78blZF
dEufxfFW+jSecTdypcjUDLegn9dLaUwbOt2stS6s3TlL2aFzphcRP0fhoDr4A0ImOizH2VQkU+Gv
HgveEwtHzErC5f/IyoZLUDtpdOtXiIgRRZSc95BijnOmOAeVx+7jAPouvIWahZgbXCRaDB4m9YaZ
uH4QDi/ve1NXHYKZ5zhZwfmBzbL7vswFB/7HEcjaD4QH5PD10p/MKnsgGhd7N3gJ93YaR/NArgM7
9H4w5PeGhho4gdPz5LcxubwjadQPkgZ/YpGcV/2W5JMqQ9jlBVQMM33N4Ze3ZREjWh26rKCSSAyD
x1cAZPCmq/r+qOZRPwyK2rfGzr6zlqqZz/Zk+w2surl29R3xDbazMfuofZvsTmT3tqd413kt+F2n
dWa6bdC9BVcXdoDkaeEThlATTpJ2NK9TaCrCRlLt+uexBIu2AfIyPyVG6735mcXBOvdGcTuJXsMG
/R+5Vy4bI8m5GFhPVWuYZzFmxs+h7yJoY1OkY94zVU5uBNGLrScui7DqeZJ30cDOmSglQeaEbsp9
H7jlwjvJ108U7zEURW/msT6K0OOB2XNUPSXrN1oUYPmWseaKq5iiXAg1oWsY7MWE3uVJsZJzQtx0
L5YxY57mc6K0fMJIa4xPLKQrNI35lKVZeK2YteGaKUW0OOAN0m7O93OZG6kF54lqOT1ofPfgFyk3
KpMULEZcSblJqjrfgmYHSeNDnYJjQg0S2OuwBiDABS6G2pDQgk8LLuBWE3p2ropF3PH1d9c25GQp
VcY+z4jyswHeCblPxqNnDusj6h4LGljA5necPH6Pzt+y/WVWF6DkwJzLONZ5TEOOdAcL4t4yU2w8
i4XHHxHTqSUAJWYhZ10bUKBtTBnCRBwPIPEnVCSDX5c/CRrx9qFqk2PEwh/2QYcZhTsQVYTb/Gz6
7qdRzfeRdqcT1zWFwcgsNxqEee/Vs9oqs974cq6PemSmTm2cPGl/nPcFD1F0IBn0HIjnrjm4d9oe
m0e+bZ7Lja7OPPnqg1uXKIeYZG/C2t9hLrgbS6BeaL3me3MW6SeBj+mtb23n0qq6aDdOismBefqh
iirSJhTgAutK5QcXAav/T89PPOSrYCVW31NUAENqwBcgp0Jc9MPrfL4QF8czcbmIyZEwjGYF9X82
lNgYPIGZp49qPUEykxOC5xWn4VC0N2NnGyffmTtxJ8tVnFFnnDa533NFLirhu080aqqHuST8eKMo
u/+hFV+7jj+0xoj4aTg8BgsWI4g/t/1sv4qIJ544Cu+j6FfY4eN+LXz/vl37S/eDkRWFPLMM2n4Q
0mu/+jvTAKTQYSzaQRyrBopUPAaBxbS/N3CNa6u98Ve00fnjOPz71/1L68/rsk70sJjhjqdT/OPr
0pJXTtFqcdRF5b8PBqlytdSVRiVBHtaurZv56vsZZ3Gn1ir371/9r2al1fpFV8wNzpv4s/FrRj6M
dMpvj0R20YCA6bOfiW5ub4pActoPKZai2BQ9bclaeWNO43D/eAv/N7H7h4md42DC/t239Rdv+PMP
1qa/32v/+id+HddFzr88stlBZEQ+ln4unv8oVy0TfaqzjpNCzCks0LnoflOucpHxr0jvXkdOEffB
r+M62/tXyFyEXbf5MfjCZf5fjOsssrD/eOsyTPBc3OoBMwUSFXmtP17akCgM1bVoOj6AGspwwexU
87cPqMZiGd0uMyyJerMtr8EU3kk6k8++Kron0RIhYvbyPM6Y1zqQgXcfuI05If7moNoie0BQZ7xz
kxJ/57dmR6eQYKFFe5jKhyYg5AUZUV4iemM1bAWnxepD+4Kn12w/yaqzKceNcmmdgygHIe5C0ZsB
vEgF2UfHZQRv0CUiuSzc/bKkJgwwMRF3+ImgxoENC1TqyjpnkfYZwdtJNOyCzHTlPqtcW5wHFwkJ
cwLSzJDDamS5EWUI0/dz0M72izunknHQgiGUOCI30eEB7cnsncYcpCxaTtxLxTPiN4OJD2RKBfa7
9dr3oklInfcLNsKLLbXsdrA9TYWdW66CLWT+hYBmV7kSGHML+AY2tdyMfoQYrLAWmsAh8ORemQXy
YYJTZxwRbXGsU2x6uskHaqHGGY4FhKjdxDz3bYYiEodOmh1zmT+lFVi9mG0GkWNNeyzs6QUOtXMo
hqmILWKtj+WUZguP2jR7BSSJ2G1W+Yki846Ij5uMOvFVpixExmqF7ugsRTwTweBO/W8DC0Lq4emN
xBwswF2EU9cB/1O+aDUQdRpZxRkW7dc0b/udk5Tj0xKOEp2oUR9Qp77gKwNaGIjpQKsZ7EO7OaCq
vqolfwHU+bOt8uFmkS0qwzK9IFgEoTkOb20tz7Vqm2NJtvc2yJ2tXiAXy1n4N0IQ90pY0UOWkrBY
2uWLAI+5HXujBYepfvg568jaX5KHKWoZcZnaQEK6GoWcZEv0VnlwlWvFekF8SsoVKXMgalJw3xt3
Utkt6Kj+LhwmexfgkSW5i7TERi9ezBMaLbUkxzEfbXWolZd/DWm6z7qfZxbunnFNV6ZYU6Q/Eidp
7z1jePKGXD+RxlQdmBsjaILrfWxK318VJH7stDP6vcYb90PouSfOhWzf93a0J9/N3XiZER2UP/1o
vbImCxM2QcLZEbMpyyGB6fxri5ybRqKpd2nKiAJQrUTgyFpRNuwqvcWAdmuqamehw4pDWz9bXkMe
VFW+GBWKhYUJQy0x0XiD8erNiUnAsS7OWQeewcDF/9MZvf7LuASbwkKNUqJCZe7U+Wu9aoIjArDI
MnHgjh8hWG0ddzEADPh4VhUPdC9ug9BMt32hlnll+BpHuzTHK5IA+s7KLcUDRUXdYK7GlS+wP+/x
eQCOQ8wuNxaFPGottGuDaS3pIQfDjV8o7ZnNOgQCbrmwyiXGnvRtrDq6i0SpB3zSFkMPLos0Uog5
Qq3n7xCiTXPHRnQ+j0Pe4Dee5ik6DFxaGgCTvxI/ebdkg8tp+Gl13QTjCpr+3tfjmP0EMBVxr6Gk
WGKyZMV0wa8l3ySaUWXHmZste0vV5k3WRDXMiVBsss6wD8xF+M1KLCuoAg4B2ULvwDBs5jipsfMc
BcpLLOvzu3N2SbTQXKUMZuxw+axJLX0JcqBVVWG8c0u92lD/GDeVLbXsAA23cy/AwMttXzFSbQxQ
pDIErGqL/KWGHkUoq/DyO0xGyqIxXZwtxbf1QAfyqYPySUhs5ES3wq3asxUNWN0ddavGXFxBiRhP
lLrBu007uE3LiEKyjtizjmnGbUx2gL1L2kbv52o2QYTO7Q4iJaCyYRgulYRnzM9p9rRYM3J97lr8
yP5jvShnn3R0SEZXZTSk6qFC17HLZ3mcLDOziWNEOdSFSxhjiW4eicN5a0ZcVoTFR996Wz6C1s+m
GISXOkIi+uzPBZY20zR2rL9PbgWgtxwthyGeJQYctswACEA2bubRy+gjRosGhcUQU8k8nulMiD+1
OA/C+ZITinS/GKa6m/OowCE3MgxptA1zksJeBfbHdDQ9wJzQsTnZjF8L0ibAhh0YUGMSJReW7oMF
sTPPkDKInzSZYJ2GEimpP/VezGD+OoaLHZdhC82Q5gL4XhsdO60PJI1GJ0ZVyaa1NPYMP6q/zeQy
7My1+xgtwwDAUnbbogZAEuNol89RXkRbh636tnPRajBUPkVGBDHLED91F3xi9tbuFnzMqBREvkHd
z+DXhZWQNTrbjwAnzkbZfVflclcNyUjINtTeZQLORjprc8/qwbwllbDdNeZc7Kd8ME8LC5uj4QWk
popVjNPgVQ5TOnMj5Hcey4JhTl1y3nU+sGHmow2NNhPb4YtNAt6NJ5IktmaEDIkzzfhoC+uWa4Cp
dO5mm6ksf45+Fe21WL5Q0q7cvoizrJi95C5prcSOVcHRD8z3K7S2aUMURf+QlHayyZQlL5NLjFJW
ocbzzfSttbyfIup+oCWr9pVHwaC0+1pDzt7UpWRKFvKjlt7tYzHq4Wc/utgUJRocl0OUpcOUPRD7
VTxGditOZmgvt+wJ+BiC8stYJ+aWwxTSfpur13BueWAMzlOe+1BPU40lVYOFGf28+mo32B9rSBOn
0a3JbVUBiPjIaPbU9PUt5tJpR6Kou0EL9FXCScPE6QfxFPEeJoClOzPqwhemsstD6UgSjFdLAyub
YASWPZWCt6+Gsnjjti+Hu3Xg89wFHn/WMeenfoSYXOlpg/UufRxlNT14BG29BYX/RKcDzrdKL2s0
35HBeupA4SgEKISEDzrLM/dT5JUIaDwfNd0Q7twlITejkwGwvFFN83bpIOjlviKCOG3t716jG287
8z3HtrDae2Utw9FcdHAMtBd+mUppvo2m/kbQ1XC/mI5R7JTK1LEQg0Oz7ivmRSDAOVnFoGIvm6Ge
qIixtkdEljDrawcq6woJAp4zp6ZBiWELwNmurH7K3gnRhssi5Tulj2shX/b+QQjL45Zp8OAfexkt
4wZSsr+dU+cJcg342cG8JYGp+CxZRn5t0u5cTVmygGTI0k2XOt8ZEYKWZpn7zUoLo94sbC1LEhbH
VaSHESDOy6wYt9qb9TezCqutaEf5BGOzOyUcnncMTqpD1PgPi9/cJG0wBEwk7FYfsSEiOKERD74n
acBuwpYBYwsvf/VE795ZJOptieytdl6OF1IQAgsHsAvqXTs47bV33D4HKm7Kiy7tkHlL0jL4GcSY
bhcIiPUWC8p8j5CjOqQWSZ1JMA371XyxI+FNovz3jUOBfrU+4GXOXznNylcecePnatLmE86s5GgW
QX4yvYmKN+n8c9co3E45ZAQw6yCcXlI7B9JBADOOlSXrz1jouSEytEs7kVfRGXeJ2mTg+stYu41g
FpKSRmzK/nFY9PBqhgvR2diCjyE6uZu2KIZ7N836T63j9SX3X1sQo8k8qaw9mlmqK7zc/cDklvZB
Ts+pxQlL7odLWMoSCQcHeCVmtcsL7ocb/H6ECIbA4T5NSbj4n9PSyJetCjVP1hD9HDdirwfGhb5O
d27p+ngeyuxNBZOPhSUYn6qlYf0F0NK4qxqdv2Hsavb43gD614uuTrCBGUeHRQqu1i2NMJb1VL+a
iU4esRs0R11zvMLceppqamPZdOPXpm7arZEFwHuGJb0BkMsGv1Edk65a1c84bcEBmIF9QDhV3sLQ
6/Yzwrdtm3bVRhhLJWOvF95+YoHyyJgdgrq3JOQL4bTdqcIab5EOj2i/iubI1i59sNkNzdcwKPr2
XqcQi7cRsM7OLzeEqdkUC7XIolmGkIxsW8jvlJt5iOynDLrJfWqH1C8ZD48z8l7QtEWU1ahri1mB
hie8gLkaKS3VIgD/OzLjHAWgoimdfOc4ZL73aocrZGeZUhEc+5J78SsSg2RrYgZJb1EckiHCJdwX
OztMpy3BQAy5SiPAMJmR63Or0MIeRxlZV90N9ALoDg8LgsatGmbj3E29OPVck9txcPJbUXg5OVdj
8LPuW/fbL9jgPu+H4oDv8FmWBKC/WRZpJLUbTXcD92McymXxtuAZwh9tKNKjP9aU4NaQGZsu74OX
pZhMpFeczjtyecu9xGfzblJY30yYmeIK6GQbCPPQ8mPPHzhiIXLxOdNufZ0myzsvIp82du2Krcd2
k3F7VsP7L7Hff9CJza6UB430d9P3RXtxSYXYOrzHT5IqcjdoHW0WxKa7lGcdxXk377TdD7uxCk6G
aNSWMB51HdI82vfERb17rnaPddkjWiw5mapWhHGQt9khTx249O26I8lrf8WNZtPXKjLUobJdciiy
CMxyf694JywH4B8L256PnVV1lFIEtgBsChmMMzbecd1AiY60t+vmkv6GixKxZZHDwAIovAO+ktGN
GOUXSU0ft1FQH408cchc5UnSTH4TMk8f5MYwjZmoIsfZt8TPx00UGPcfXGVQ2MdRl9WdLlGoemnj
9FTgUJarOct+AKF175KEtHjilgknaQ3uXcnBP4piMyOw2yw9ooUePBcPnWl+xGMWXZRG214goj6W
fu7t7IqVnCnb9pyb1kOI4DxG1K1bRvfpuwxWrXS7ctaF1YWX0uhIwq6x4qK9dUHUR87bh4fLmdaV
co1U4s0Q8q0jvwRkVHhwkUMQoiDUd7Ki5TGEV3ci0wujEI3nag+CgKubtNrMpcP0IUj9rb/gJSBU
dKf4tmKGz58RGd1kKcqXpfveFNXnD1o0Bkaz3Y1Dwx5YO86OHAqb6N0oOcNJw1sndRLXKeo+ambL
3BgNo8rdursYU1d3ty1uQK4WGRwssww2do9rqIKg/sD8gRCe0dVjuFPCVBc5UG+jxiDqZh3/6FCK
U9R11W5hQXNMCXT4MTW0aMVQqGPtDgTtGp39WAwBEwHRfxsyPZyDOseYx0LxzFxrm2WzYBnqsx+B
JHK2g1rheoVrnebdV/o1SrG5AXfgLkV9akahyk0K9ehVDQl5XGq6cwCYv1BKPedG122CfghuMp/t
aKcXCsc2OyXT0kmE50YPP378ElkdoL/ZQcVpv5BVDOJeuezDffQf6CfC10yzhcCxxYbZDBWGvcR7
JmyUze9S2tBus9vcaN4gLcvjLLOn3rd+gumk/iMBBTOSaMiItVGBWNXJUY37XZIhvUVJ62yFUb/o
IHR+CgHlfZ8S5TnETD0ovmFqA1f162s4D3B/27RAYSHC5IsysQAgVFEoMqN5uhLxtrQYeZOEsdMw
TXtPQpCh+K8tehztHUrkLdeGAwsgiuPhbCxUEhC+1meDwZ1Q73yz7M+A0uMJmKum1Um2fFUiuCuB
XNwrH2cWWxZj1dWUuYUMgF3dTpHFLHejmQlk3kDg+Bv+VdmEP+3UvrpFy+ER5ghHhFmeZ4+HK4L9
b0kpMH1j60h37FZIo4bVDYhen8lKJvnFtF56HkmbatVTj/Y6CxRNCnRuJGrR8tflPOpu8te8Fdji
bn6BkJOJg2KhaMdjoLovabicATzhNCMMj9QV4w5QM7VOxVKn6IKzsNSw/41VDopdx11kyk1Dqb+h
MrWB7na3faoeo4Ktb51zxQMlBlfRPHauIIW4RrvduOhmA+PfJPNgqY37yXZfc8tFaJ0YYstGEDpT
5TSHzBTpLm9ri5UAzVnvjRIFYGoyuSCbwyy977/RzotkypGfzF/KFEK7PczOHjMvqM3B+Zp4ynqa
Qq/c+nqeekheQNA9Gagnzj479n0PwrXZjee+YxhFOjpOfsO9A3RtMGch/nzXm4SLR35z5w6V3CRw
9UHbEQI+7gKIVwQTmVl57ng+WqzQ9mU+i3dpER2yorTqbWksy7fSzrCaW3NpvLd+3d8HZmUcCx54
fUxirz6GpPDeBiUtEtr5ItuiwTr3KBh2DlEAX6mzuLVSUb/nhRXef4DYwbyM34zc//kLjD3KDHnu
GEM/LpoQLC8njHvzG5DdtjN3ufSAsZD//AZkjwacgsvK6/uFyu6XsOKFnTd4wxciCHIB/8M1E+Ni
5b2nfuGz54l6nlPvExXCr4h2NqXDkftg3n1w2qcofJlCnxM+a+ynlFi2DZk091gGkvdag3Is6iQk
QmkFt1frBvBmsilqbj/o7d2gSGZyo0HvPxDufZH749ltOH9ifzBFcfgLzb2s2ZI2NDeUd1MryFX1
2/6lF25303X4dtAEBRFBy4SJH3A6AWXkXEBBpkmbnHLPfCYGxvKJSRuX1xGe1f/Cfw+4ejos3tNw
IBk8v10EPowtD6woHlAxUDHNoFwse2C12g9rJcQp8/b/2Duz5biNrOs+ERxAYr6tmcVBnERRukHQ
ooV5TAwJPP23ErK7Rdq/9Hdfd3SE3a0WWVUoIPPkOXuv/QMYPh+y/tQQn7f5kQ4fG8UIG85WD7hM
eppPZt7AmZxRSDTCCJ8KBIGvbgLXeVfFUawYNc/z/ZxDsNri7/kLFe9LDt5KsEVTgv7Ii2dEQFov
Zf0iPcbxudfv3GaY8CNF7R2hP+ITdqQKy7vDgr10rnUr29oiQK4d/yLKs5bVt8VijJ++U+WJ5R02
Jb7R6242+k8o0swbs5zmo2gAO3F4lfYdnnn//h95870MxgchNGOIkTBPaV2xrG5KN6gENWOS7P6O
nbc78Ek3dPgRKP0NO981JQlLfRdnO5XL2yWW+Icwn4q9Fsc9mosfnzPc/duqSOZvK5Ie7jaF2uJh
jF259ElIvAXs7BQeNo6Ew2Sw68Zk77HZg87isENMIzlx5JmgkUCiUF52kfIvxsns9w323quGGERJ
ZW+ZVzXEqI99VvVqg5iy3CXG5Gy9zlmzQIy7Jm+bG0hlwalMLJjg49Icwbc6W7vJiQ8wuqm/XiH3
dG8J6cFa8mhS3111dTsdhp7qn3amT5fGSO7nJBu/4+4Vs4xt3MjyeujDr8ZowTwgUenkJW4PrRz2
fTjyaNgZXLO0tS/qxApuweAiZJvd8ewZPkQxLyp2Ts+pY6Bi3NJv7s4ywZK4IvEDL/y9CpS1HyNs
NVkwv8QzIRfCYRwbBRltRSsq6ZV185OR2sS/dqRurMh8I3CCY4I6cjv+m5tf59VM2mNApIOtrJ1n
YZPqXfhYhrl0n1PIdVuOCstp7hSQN9+Sw23g1/SBrbAodj/g9OeEzSYj4DinnzXmV4bf7iaX8Q09
1j+5+lYOvStEOefmC39uRnfSVvOHCeffRoz5UyjFsx2zWIMC2KfwuHZ0Sl7CCnkKkHwiKhCIIJ0D
v4/mqj4IK3dOE9h8J87QkDYcFRyXpF3YdJs4Xj7Y5L9gWGo/NbLNbr14gHciThRW/XFcnPHLv0j9
zOGxOC1UyOoNrr8Ms/ZuGtq7oRYFCbJ1wNZu6YNgUhgfMKWQOWyK5KKtTHEFrPTVMfzhmjAT8uBY
/2G4apy/A8u2n9wBxaS6GhuMj13Rfvrf2Lrq037+xdgaz4hWuv/caHL+o5N/zD/Orv/8sb+sJvZv
KMw9H8E0fo7VGfIXdcl3f4MipsH0pk8CiXjjybY99JhaUS/87wPvvzzZwW8wBbSMQosZADL9R6Nr
234vBoFiZgL8hN/K6BVE7Ts/Bh2mqtRzqVM48kRvq46U3RnFcH5JWph7qcyuHR9iGprn2kyT4WJM
q/4uaYyxPOYZxQ7n7rEgfzIPU2JzBpuQUgYcoiGEMsYGmEI7l6jmcqZYcUiQzaKM6SbOrcTeWQQy
PiqSgJ+9anwprJnzSlE+jjqKDpzdcie78LFuSI+jauCkXHsFJxnX8uWms7PlephoM2+CLLDupVcz
rWBrfQ5zK4O0aWAcrEgjOku4BkhLAoTtnEOQb/mcd11f3ZQcLRHCWtZ9tAhjX0oj/CZFh/ERSyzQ
shHG6kVMs7xDFpM3L/Zo9ZzeJA0FRzLa0BcK6XWw6/zkd75/YOKIcc0NaPTuApY6YapaslBTCQ0X
C/P1rW8P/KB0JylwJtK438DAKMNPY7a0MRtXYD77Zb9ce81IV06EOF1NtZz6SXYXozHw6lYwES+T
GTMYzj7cTmltDzR6QuYiqKFgM03SXk4QGsD0iCY2Pg+D7T5APSnLDeFi1hUiTtKbJtcqnua88IPd
GA8WYSJkz2HDNfltRZmoDwEKym9LMoVbZbfQPROVvBqFBIQNiPS4vj+p3xV3NuHXIHO6C4HKESEW
wylKM7+aDmY3VMdhgEVNY2g5pDUXmRFRv6+WkROc36fiKg6sAdnD0Of5dAXsKElOEaG2y8mTveYR
uX6ORnMho2+TReR6VaCSoKtjjOqcHiZYNjLqTWPxTHUSUOA2c2Cic3CW0wAv7DkMmvycDRLLeQ0g
O5TSTfcYr9yHGqrHE16k4iFpuvkZEaW8gp8UPmbLGBwSW3TejqR3+8wwOb6MWichJaVhwUebfGk0
fNkwRXNmx3Sbt2PNh8wWl0EkcoXqiJbF2eRu27PZhr23UVmzfGY4PB8DYN3HohD2N1I7J0CLXclw
1bIRSSNozdL8gJytT27youZ3weJjalp7iD+3zne929jVJE329L/uozKcr1MSkwEo5ulu6c2IMX3J
EHaMp+CIGJuxfpHYT8UQ5EfStDingiIhcFb1aRkcc8uUD1gbn92+oOvpYtYNiGXZzmNLDzUbFmPZ
jzSRSsIo+620PO+QBku0dXzAyAPspHMcBZhE0iHo8PoU9a2EjHknDRvsDWlht27qWGeUvyjPRRvv
S3xZMMi8HmyLs5wTR4tRc4EIfipc+6NCErdBbkiXLOo8HlQ10YZFmbVFMZ1yU0HwP1T9iPi87gnq
hjy5EHogjWPb2PKao3z2QQV2zgB3cm+RPYs9gxEKfdOXGBHisoAPhvfUuSrCNqXdgmX7eVyM9DoC
Q/t17rIMN2F9AcqLTJ8GQ3bl2d4E8qYmGBCFMGMpk595WeDOBjsjQ8F6iklVfuCMDEBoGqmEhmS0
sRXk1fKRcQatetSRN7h2uvNiNmTqeC71c+ubVK2U6xwhYrQW+4rKDXVI0Ts7XApyj6+cPOWJhcLa
kApHlI3nzZeM0Ou7RC3yU8jnty9g8KrsoilrHT2zAAIYoizRA/gBRCxjWGD5FSLkDcdeWKCJX1tb
v2q6LVPu5NHzcftvVYEGXHRldgl8FBgyqlG6epnw0o3tUcl14ag4o8dMyeaSBAQTIU5KKFIdtf5N
PQ/GY54XLP6DYGofTiqzeYmib7ZLsHS3XZDnZ79CJgmZdrkTsITKnYStDUiLlQWqcPQtVCUafGy7
O2EtNNzWp6jxWLRwBPKETuAmPcNkWR1FPbJqzOwwXe1VR7B63UVT0X3lcZjEveXqF+qTTu0qIXkn
OL+X68mciB1NJiOsbtjt5xvZ5fWMqGPp93KolusOqcJ32uz/VH6/KJdseh0/9eV+eoHvUsV9Xf1Y
Lv35Y3+WS5bl/YaJlsmpG+CnJXzh31I/Ad7GRuzHtvlDqRT+BvAeOSlGR89xyHn5l8rPob5ycF6G
1Fa+41i8u/9A5cdL/KDOJWeOwYoVWuTLIPETf/OOLvXSDoYc0F9QpCzbKlXDXYcLjfV9auWXH+rI
X7pk1xeDjKypPKEDoOY9Qjp2lUOQa+/cJcbcfCb3SjzOBC8+AQrmvOIJE948BtuXcMy603/x0jaZ
J9ojy5P2Th2cGrmlesYxd3AteemwM8L9OE+4fvzBQ7/P6RDlmNkJe0taC3XDz1/+rVlWf3JElAJh
MsQhvrj3Ly/gdlRhVth3Ram9zwHhjjRk+mFpzmmtXw6gTHD189cU3CPvvltelFsFRyjecn+Vd/6g
iK6aKhriJhSgECrxWGFyuhBI3tqDj7juabXGOKnNiw/W0Mkj+un+lQUyPRaGx3VovZocNj/O1Eka
XRztlwVbCX5Z+qa0JokxH5uISWi61Iis8SgB1lNIEO1fSJzf1vLfr52H99yF7wQ90nlXywdTYA/K
T8SdNdBUygcw/qoYcnUIpLIeyYepL4lnlK8/v3pvhdV/viq8cxzVPBj8+632leXZz5TbWXeZNg4x
zkoZiFfJNzNTdKW0sdp1GusGwQuayVVu//PX//uD6dtWwDEKpCL3zftnZQxDAhdzZd1993fqB4a+
ON7KsbVufv5S1j/cKLYV8mQFJi/4t4wE4u16UDSDdeeQ93dv0PzMD2OK2BExji1fVe44L8Ah9NNp
YkrChcLDYgCKu80Aof7i6/6nD04gFaul5bvIyrQo+Ye7VhCxG7ZmZN4NfctD4vhRUV/RmjRJWa7y
8L94SDQ4mOeS//h/yxqwmsxMDXsUAO5oqTHdwaq3mlRXyzJKOYcpjsTF1Kbc5SEWoJtyDDkHolAy
YPZnS31peFgCY7Rr8Z5xa3DV55on1GN0ThLqTn5rxlNGlxA4aZiYQ3H4xRf4D8uLPm47Jop0O+SO
fXvNsiKOiIIPrbsICG57WHwcV+t9o/qy+dx1xIAUwcS6N3MBVwNWnC64ouUcticyC/AIpLmDh2yZ
FoZVFjbF19XW/PP3+U9vE5k7+nQCcBz3fZqLQdN0BHlm3bnESeA91o4Eq8GbYJl4LvGJ/erO1jvo
myXQM13uavZcbCFo6d+/Ytlz/jDzWd5NGOUu3b50XyJm1PzDxn43mLa67WwPKUOURpg1zDED2DOh
h3tIB40Vtau5f7VrrNeZyQpgGjwEqe0EtK64J9ZLJNk1PGzn2us3+vXlipjgpI5Slz7izTIP9S/A
/3yC9x+LT8L3bHPnCtjjGm734zOyBHnot+kc39U4cbZhMy/dLvON7ANgWgYaFWeEaZv5I0IZ4eJm
BNZJPOwhTOCebki9IDx7Vk24FZlARlj2/mFcYqM/JZ4cLAJuYsajsF3RO6FBRzdoUmtiaCrjfmf6
dd1Bwpy10yv0E7kzhcmTkeGV3rMFeECRtLrUCZrqbgCTehnIMrsSZVDfjFlEhzOoO44upD4Zz9bs
5x+sei6+mrm0dsi8aaeLeSFDfFZj8jrDY/fO/ZxUu7Rn/z6boVvam9bOmtvWhMCFMC0k9capJY45
PwnaDS5Ao3kaqgJ3tR35/kNIUIQJnj7mYAvoq8WC6sYdTVUPh/rW60XwOwB6hr8Qs/r8tAC7xBQw
DA6nf3x0YP1AblyJeEBr1IzR2QQd/gChC3iR74xxd0f+icX83+0rFw2cAEeExappbn1OZygEQieJ
doTmhk9xMrDt5twjFPw8cl6NsaAFQB/vKQ3CvW/1WAaBCbsvqIkpE6qA1YYSkIV41M53mc782OxL
vJCRzTiKmKICjYOVFUDkchhB7MwW7XHOKtVg+s0Z01k2X3t23V4ZKgysQzzXJfC5JlXBBTYHznFE
tn0NUJsjh8b5dzTTrNuFdhnfdMLpDh0xXHWLw2AyzeXZkkF6FmildqQWEsJLeC0Du1Yefey7BzJm
6y/AQd1nKLQudtgmeeVGUX/EHOJ62FRxtTMHvp5tEvUEaseNC3XfH7fcWKUJWpDMB4W6F1zohhiv
V6dFsqDcNG4eDTdI88uxCmTunKuKXIpHf4xqk1ZOQlCevyt9uj0ggWfH1/M7rIqR4N+IKAXJDbmT
GuSnpTMHyZIcCStsno1k9Gzebp7RnJ7buQwOgFQofgAG3iNV5EpXOsnOjAOKIVZw56UNJt/eI5Zs
CAWOo+IjRnW+sZnE2xumnVi8Rl/7fOnX4/KeuSs3CRCa/OBULb8DwG/zOQRXTdfOWvhSkasbW9Ps
gt0UTtxeVYxaA3YsS3bqIMv0A3oUywxbIXJpkcWpSb0KfIDVqIQLsZJdJiHkq8QXfuENeEoNh3XI
d0qwKB3m/E3LExpsy9Lm18+ty5vjxAGKA7r806DNfvlc1pd5lYvHlgwo/lJdhFd9T9sUFb+PKLdw
wjIGMdXzJ/FCexFuMoWPQFidoqhkeHEIXC5OJ9ipQSPY/I0usbIbxncsMat3OV6BEH6t7oXrsamn
BivqukZSwwVXkcsm6mdth24nkK9tqC+lBko/SjnwX9d3WyI4AirYOuq2puwE5+am82271iJ5gWrh
Q4XEiSREsCTDwjcyOlSGs5isR/Sm4V6IbL4fSNh+sotMkPkg2J57hat5pQHMgmtvlTMfikeSV8qT
Ub7i6FH3ZHrIV+Y/2GfijOrTzEeoHwU25lCXR432N7dh3H7O8pLqV6Vyvl8LhSVvcTmvvkChqO8z
WfDVtrwZ2IDZK0Awn2uhaQCQzhlEIincenUEjxf3RX3FbcR3J/S7JemSjUeCvFiRIWZmUoTXdRvu
XStvPmNHYTefcwFqJaIR9UKGBVbisSbNjyj7jneObYgKqq6nWV21Bu3x7VrgIC4Jafhm/ev3w8/q
EpyzUHuS3dlBvYwQHPRBg3zjenLn4CrBdfKS+DZWb7Yd3mAjQPXThKqmbE9odvQ7yXu8eLU+Qlbk
Zuowqk6XQew8hCVPd4EzwR8JJd9REwUUd/zPEHNNt68cYGi7Wh9V8qRMj9ZsURhgTrvw+KZvKmn7
F3yc+hKVr3ePUBdtuZEUvFs8Bd1pmthxMQNRl+MauzFR5tKNI7ey2yOvVrdOkM3DdTPFRsIIk+RD
QnMq7lqyJwN7j9GTNxO53MDQLLhmPdxXHEyp/5jlASqnvjVp3K5efxRl7ktSTlxTxRCXI4BeBMjw
UvdzWnFVCsDfV55mPrQhT1jj6ZcvJ9AsZCBTjmFC+EwXrr4MNciEcr89tZHNt5oKGRCKbuvrMJn8
/5oGg6tY3ao59l7Q8PK8El9GIkSKd2cXw0646jrJO1nvREdlFjrElCXAtajR9xa9MZuato3lbagi
MV0Etf6CspZcxQPB5O2p7CBDp6hvEQRwHJXkS/YURSLA8LERUNof4Ke4L3aWWY/CCDgDMOZja1Ia
aGVrj60tmPluWOdBs2CSaD57ccOD3loTbB39CdmJqJEl9jc6XcA11gPvMhmgduDrPoKHRMHF0s2o
gSPt49Dyh4gf+Fp6XaUtpEnj5NUV47ptzrTtph0NffvCDhI+++I2pMaIwKDJK8pdp2EN61XrmlGF
u2yyimXX6beTeHyKPI2clwaBKMMhbYgu8krdm8uM+8unNU+uBX6RjStjlqMU3zTDYu2cTWTnohzj
lofbnwPXSdIIstc0+u1phkxb7l362+696iaUKBVeKE3UMd0XR+mVhb8dPlXK5NhaDA58nRo7Gpkh
U4GRzeOnC5il7YNF2BW3SJRzoQk4tW7SbF37lMiMYx0DCCERcGQQtV8Q9pA/UXJPrBfg+1qkD+6j
phitCyucR3ac9d5FhMG2pvqmOykQk793bEN36/3pIHM7gpwdjhAZnfzaHwJukcAk7BQEzHhO4hl6
9/cbAjlz8K3xUYVuS42qMLKKCFVN8Y89einrXeGRLE7HVkTQKcD/HK22AsHm6m5DLo203hJRbhGe
6ZJJviUY1tj6raAJQYQYwIRUfyBjKrn7UO8QqksaujzOFELdjrOndWM5fARuOevRTbx62llFzJMF
9ZMdxge4cagbbhr84Kz2dmp9cH2x3HFS56Y2DQvlY48dFCk0z5eT93kJI9znYiPk0ts3bWM4x8iN
aQaxAWFgjEH8bpuxZ1Go426MDq0RQBKpVqBHNpAHtLfbmdeNGxhX36FIDUe1p1BTRWKXUTxq6REB
xiQcAt4zp1NIaqmFlofRgqp46oexSj5YOkXkomIZvcHxw7twg57rgW+Su920oqV77N2BIiQ28vDJ
1OkGFckRfF4/nG4dNHQPQ6DKD8J2vyZGBPYEUdvJLVp8Q9oVPuVx9i3GLrLxdTqpjQ0yZ9IDmdJW
bI8wltiR5hRFYk/LM6RCmb2nPJu5zmnDF1q704Ijacjsg1kF8wiRn4Z/MqryIm2a7Np2pGVt2TXL
C0726lQx+ifdrmkqbDp2TWe8oF7whGIxpMiMNp0UGEiUkr15bvXif0YCTiMyTBJqqsEh/lYUJAkY
taALQ5cNG30RTcZDnCHE2XZlwz/b0OIi2e6ibukAki5tTyw45DUXm3akxil1SdcmgbrPY/AoBZKF
7dBOPDP6oJxDxLic7JBHNUzaKtqYHW8vWuB85Dh8pp0TTbxTtW4mUcK6vbhpnWO41DyDPGzggOk9
3EK9/hQRwBYjttSLHSOGhqTQrGHJ61nTak/50SX9tA5uaw2EIYydi6kJrZtYuSGUj16+igVbL4YD
54IzGN9r5Qn2T6Rk3K1lzGq1aH7gyCtv13UzzHIWR8bx9n5uK56JQtebTRQGV2WHyn4XNbSvJuU0
n3P8Ppu6Z93rWh6hHuDMMY3Q3MJIOXjamEziA9aCLWe75CTcJP3DGT1T4s0aeOJ6HeXi5m14ZXyv
MFrgEgY7c4kKFAKev5j+BQc21Z8k5xu8FEN3rHs5HDBVY4kLZO++mPliPWL7pGXnhqxK9Hm4JH4G
gw67tuAkUXpsLN44e48JHWucRL59sYLkuiXWy8FaMrtm+Q1cjMKkSMjAIc5LP9h7cy8OvHLySIiK
+qgSb7lK0MZ+xPsC9ZonhNWZ087CAFFohalXomifnca4BcNRK/SRYRXs7c5WJxG7xtehsd3XLByW
P1BDj7iQlXyaxAQ8j7pK0LmQ5pVFUcbsM5ietYceYBshI7gUyWFu9y3YwLNrq/SGkHGoQZmXfiqb
Pn7wqPHVdigJc8mlax7nwJ1vQruJPiaGn3+t25nfhAk3lVTKVRjfLpXBibUgMpxxV48xYsMQ60/e
4f8mPL+Y8AjH9X464fnQ/RG/ne78+SM/THdwd3F8g8awjnLeTHc0ijTAmR0GYDpoM//FXfV+E5Dz
+Dn/X0KZv7ir1m+kGjhIZEh09h06wP/JiMcWb/tu4FYdBh70Nl2TdR/t/7v2YA6AOJ+GMKVdS98r
3NoWOGfGtLn3IYwahygnr2V/rQvMHgdw4lbobqYx9bZ5NNaTummR9TQbn370BspW3tv3CSnBhfrk
BqORE4addyUFSZWf4qUyp9ue/ea1RG/KWuzLKg22COrY+8QAPz3Z1HDZg/FYh6iEyQzPzmVWoaGH
poUAXFvnDc1JQdQdnxEWtxxaYqa6vV/cu1SBR+J9lh1EcPNDnqf1uK1sbxjAOHSYZpeiQTWCztn4
6JvG74HCFIR1B2EL7bQbLwFokC5LdkVLG7QB7LcvE+UiurqGUHlCS5L7zg/gV8tazbfjsEQhUtap
7NBj8olZ0xZ2K9kWDd6AJLlsmd7HYxpvGdZ6v6fT2H+Uo5dkN65Qxk6ym35IOxOo0pwq0koLzgPb
HhIbovYQFDwDpz6dH3y31+LQqJmfMUtX5MiHOL/JUogffMeOQhDbM7QmUBrjRQrR/HKZlHpGGoMu
3nOUeYEXZtyHWLIY5ltZaR383gPPgLe6+YQIsUOz1GZyG/gjeZSywgNJP6VB5hstwYcgn7AH2AVO
kE22pILDnkokTkdXym7nFf78uR/m1rvlk5CpIPKxVLuwSNQuNQe6Ibr7WRKj/s3vCqhqMZm3eHYJ
eoXMv3O1KAHkv3/XLo6io5Lk8U7QNyI/puzOc00UtYna+M5ww2lfIWc+R44/G6SzuN6r3ht3iofm
xmeQTvX9vXkVwzS3Di3B81fO2t8yvze7BAhNWl+hy/kr2HMhnGZbjknV3Dp5m9QXS4Van/4HjdOK
xgwMJPDxEgIa4bTIhpPKCgJt7gEJT8nA1cMYG/NdLdboP4AhS6edTxeteQLQ5sND0E3Hee0/dmsv
0lZKqxYgmNTnrI46zn9NnLyWrT83RIX6JIIVwVwaV0AhYuT4gapvpBHArtdtUi+qJiz1awNV91Ln
BuPBhVobrXIVSNLINZMTuQyiPoUmhnYOqDPBBtPauzW70j9UcZrepor5FICBEYlH3UUlTzY5ezo1
ek45f+OcoJalLhivliUd2p0wHHsLon3AoTKWo7U11+0mW7ceuJZsQ105lP41eI0JBz87VpcTrZrE
NjHEzCRITsr0DlcYfnpj0JMeD+O6DzLPYycr9fYo9EbZh6qNz44p7zF6ZlTkg/HVWHddue7AgYuj
+6avbbkcetjo/SHGY/is6PRBV9Bb+7IEoj46UdNVR/5QV+tG1fcnVqL5wWlDVV/82WJCkOQdMXRx
3vUzIlPsuum+TSAiXd0ns1NXUnrngkyxKU8sJDLRTFuzMaxLm5b+9RJl4s6pJp7HyKEdss9iVjOX
vDgAL212XJQdnDPM7fkumAylrpRFQenbslp2vFJ+DIJI7gsrpghP+a5qjgYLOaqLY98ZzWyOB3sA
+048lbhE+RHu7YAqaG+kDWNUBw/SY7M4Kf33QvA95+h1f8flm72gpDI+0nwZP8MsGbs9nkaHZ81R
I+odwqRKyzP6C6IUnW1hE/a09xIZd5f8BWfYWEZDTewKj9SqjRcsELEcabiCIxgCssbEUF84404h
X9tibMCIhMU71tljzYgKuLNr1OrlFGNTdCnOr+uqGfDt0UJ5tDgjPYHf+eRwC5MFLfVJM0Tle/Lo
mt55bmpBgIhmGPVJe+GHlW+imevFvjDcKN7WalL3VQQdvyiZEhEHBUn7eurq+nrBkpkdg7a2n9te
PcdKkezXE/IHuD6NigCWh9lDERwzNVyX+ui0zJa8h7lGUCANLxXfWQqUIJ46p5iX+VTauK3djNYW
GQ5nUiCm4MahKfx9Kve/euoX9ZTtrQOp/7fA+FMqv9aVTN8KZr7/1J8lVeD9to7dLYoWzXAHZfWX
vjgUv3FAoHIKHZz7vqe1FH+VVD55UDadGLjk5FigMP63akaAsrd95kOeI7QM4z9KdX1bUDEtDl1m
0wh0bH6bhWLu7fwNoUeSQw3xvjfvuhIAumtx+lrmmVNk39FK/s8mp/oFofagm9FzTM96N/DL+dSN
aEr30nZFsLPGKT0ipISSDVjxFEMq/4Uk4P3cdH09B0E2dSjV6/uKUSfsEHjkO5dEd3gvmW7Vrs0/
6Y7p8ecf7f0sk5fiq0ZigcCDQvg9tbzD2x4PueVc5nqmkWJJP5GKx1GPjZRTKh6vJx9N9s3/BzLw
Hz4ldxKSLEgOyJIQnb8Zo05tPs6m0TmXUjDmr4JGyxrcioYB7cjyF7qGv6ks+KDcgcAHOG4wHns/
tFV1IUtfpc7lVCOOoqVOhwfTvElzcex9drKKsWZyLmmGkFzXMXTgTKlJq6qAX2uK6lfah79/fJCB
OoghsBAvQ3p7+/EzK2FugJr9Mlhp9mHZ6gk32uT/8rXwHSBk4xbmxnl3BIkzG+zsPDtsrkCTBwfQ
rE/g2P0KW//5DaWfhX8DJ/XD6VFzBPhWfJNb671yJqW7STFBhM0YJWjfAaPTEP5PVSrriyCYW//N
KvXugUQo4Pi9KJzLJUcIkAUjzeHAA3Bu0cv8lXrM0lfn/UciQcISUPi4hO/jLIKIjNzFsOzLTBCd
vlsFKXg96WYWnQROD4D/xfFmHlIt4CEVAfjaSM3z8wv7D3ewZzose6Z+VHXT5u0NEwlLRJGXO5cq
6MXZpmo24HLRamoMyR1KI7nc57ngQEDiGcqw9eF1taKMFeRXir5/untxn4R4gfim0RS+fTN5Ae+/
BHNzuULu177fBDPpks7wr5In/umloHsSruKztfxNt6iagJGF39qXqcvlDcOYR5bjL0t94PHt//wq
v91bWL6BJ6HF0lEEvNzfbt8m6ckYbhvjjFeNjqthdOh2bAaHy8Tgd6ygcvxqZXq7BOuXxHSOWcfz
eHR0r+DtpWxyoN0ICMOzCWTt6AQVRaLspLr3qGzvUxnxva7d1SRgFsnZhekyaoxL36hoj3KQak+L
bj6uK8j30dm8MJ3aRCD3EQjqMdfPLxJZQ28eCRS0HjnkWhSIRNb2/oaVRdWfOaq0nbMszBInGlrt
OvWMQ2zJfICiUc5otGi+djXcrKyZvb3FL7vrGFaVe85QdPKjMuKLjNy4f11gHb8qEkqxza1TAoEm
JNnRaWOq5Vq0zQnYZa66NpELuiVAcPixTk8m/ZmfI/5b2BeTyNrPvVYBBbFjn7uMCwhsPptvIUoy
m0UGHD6BMTOyLWEWrXWypMuvBnrYAdcOE2AERQcVYwO8j/Slomp5DT3w82TCrLvVPEq4hFibGcyR
Bp/U3CGNQ0saDUS/HA1amN551ToRj1eia+gsEgfWcBZUOe1nv6kAXJZWOt9bAVWLIXqD2RmQ2PSL
NYd8Zf5ie3CaJjotTy2kkM9Vn3svOTYcdHGZcF9mK0RwYMEz2Xgjg/CSsfPXZonEaWz99r7zgCO7
E2MEP42dccP6O9JN4lBebtdprmHTOGZGhIYqYuxjKwcmNfKrp9kR6XEVHHZaird2/PtF6GPEFPn3
UsbLkxgRejaho3sOHpIaS3XyNS9jgR3eJgtmkZFlbwMdPTE0eB5QMc32BZB9fkupxxhLz3Uj9Zs2
97rLgWAgqER6hU0uZNJlJw5K2CtmHywDxzDPQemBk8E/A+fRky6muKuYAT8B0wTUSWpfmAZj2HXg
3Kaw63a5zcDPx5HOVDiDYcWAJZjBf5kRwPS1NW/QPwBt5oxI7oTSglobUxB4EkDVr14NGoo7OCaS
r1wC6yYxEBLtZrdkxIVAgkmQT6hv82eitVXZ3Msjh8cnaRLUDRWC1BGSdNVtY2kHVN/7iGU52FF0
oFFiXtIQkX29+MUSb60USdxYg3n3UCchga46vDREf3cPsb2I0wKkx9+J2HO+VONYPQZ45a8xWBNY
BhiFUE8ywIKDlZrdOS3q8SIutDRDFkptp2qB72HKyGPauaTTxvTQGW04ec03gQnHpHQSTP1lHoZb
TuMIJ5CRbOdqmR9z/H172kZNc85NHfHLPUkfxpTVHSM4yPVZNJQMYLr+W+As5IsLf7ghkA0wzKwy
eAVDzsq0XfSUfDLJMNv0CGifvSLv5IFgc++rWnwYTn1VXdHF6eKDFsZOEECbdGdldQWjdqhvwmyE
JVctMvkSa0UT4dHNNW0474iug5CQuffbYyAn7zPs/v4wk1bxxYun+mw7JSg0NTnLl6po8z1YW9Jf
rZGvMUA6TdziVH3JmszvQZIgocvNzj/qYlTSfENDttOSzX1LDbgZKV4OhBv3emFCVQEf6H5ghHqB
PLi5yLpEHmZ3mP+I4nqCx5sad3NYl89pPtIAmEmXpG+VM+uH7QlY4sXv6fWQjGDsInpN22HsrEPZ
1PyiwGCejwAMQ3+EMy3vIJjsNNy67rdMfSB8bzrE0jHxfBLVzBWVbnDCNTq7O5xM08aBvoPwqgij
nQMJEpFBI5E5yGS31DMMxrIePuLhb4lVqeRhcHHmVIn5tYDn9RwWhAaloaUO0oAJNBS8j5BOwx27
0kJXl+X9ynPaadPEJt+oj6rzinlOdYuEvrnFrsBNbdBK719WGYYhMh4JqaUy+7ohFO/SU3osJ2yF
JoHVtn+NO5MFqV5C63E2F25Zs0cZ1PkDGt5gUC5h1mkCcq6vW5NuBNKmZYuUsv4cWQiQ1gnimrfQ
y5D9OBhc6GG4durL70FApqVI1Pnua1gjGtawG0NxjiJghhLOGxmEjY3Doz8kLvhj5aCzX8U8DaE5
vDV/RIeSM/v8LOo2pp4jhQBTXa2jVKxENuUXNyNn49vcjI6WavXRvvB7ua8yZ/oDjS/mSzc33E/o
I8FHJqE8FfVM971ScYoh0sqS3+XYv2SMqfeuk8bxNppZPp6hJQzGQ7rgFz0FIgluRqaPW6+AJJZM
Uwtf2FsOc6DD1MMYhkjoO9PH0e3KeyQf30QBmxSe9Ie8FwwCaR8XWxF2w94ZGvEa90n8uqTp9BAP
Pt8cT3y2b5lzh0g7fDgZY5Lm86YtpH+mYyTrnZqgHmwloSzzNqcdO53oIZqXTlvP161kEvF/7J1J
k5zItq3/yrU3p4zG6QZvEn1ENpF9Sppg6pK+cxxw+PXvI1XnnVJKV2nnju+kTKWqTAICnO17r/Ut
b9Yp7eIStOfK41ugrUM/4cmoBl1tCRGHFyWlOM/onc8tOK67Mg3atayt7iv28wJq3ux8qUOPEE+v
AcBJ+iKZul3gkFCXoEYd+3kkc7QtWC7CyAW0E4gT8s8vEUCF+xHTIr6E3rySaex+ykcPax/+xJB3
5dJTRhMQQ62e0iupXedkhCNzhmSIu892OjYXpY/ss0pdCJueaaBjVV0poTAR32BQzNKJs2w7WqUi
8jX8ysp58KClHYbKmcEUJtGlOfXzrUro6If4Iz/2hWr7rdl1Ij3pVGt3TcQ7fN8gwjp37WkEA/sw
6TtAnRURlP5cP5opbLe1kfcwdm3DN3PmzMF4PfKGf7GGFg9i0wx7zYvwosq6ErxWmESoICy2FwmL
2x56q0UaB5WFgdPZH25jexhpGWYRoRsdS97HXCvsbVPhXhJ8yjLqmFNIYjsDo3Fjg92McELX9pXy
JwDKKNKtYBsUvmBBtMAa23jrdqHRwktqmJcL0eIzLLz50PV+etcBf3vsral7CopJbAc952sICKhM
MGauBEOaBeKc+RunGX04N9GcwPhRvIeUib81MgaIYYJLdTPM7FOqAknA2iUx/ozeXj+acjRIqVeI
U1OndXaB4Uh/hbPG3YG7dOFk2mnYkTc7zi8MfvVzEzjqKyx+/9vo0aPcmQjnujViIlQsWV34chUF
6CDoabbpRiaoww++al7cBChflyHTXJF7qk7OqBmG1XUFO1yn7bQSKBXIwQHGZpCLu7VNL1Iw+6jZ
43mCYMoAwgef3gsVXOQ9eFVg7cOHBP0fMuV4zs7M2X1zFeEtPFdgKNSqYkSFEcvhWytoIAGIa8ZC
96QatRqe2Wu9/r+90Pd6oWxcaA38973Qp1TGaZXSDvx3qqfz44f+boXCU7CFx1/ZkP1JArAwxPyd
6hk4f5EcwIQ4ZCOEx8xhY/evmIDwL7bFaA4Q89Ncsxgh/9e/WAveX/w2MirZQgW2bXv/EWvBt5w3
O7GAw4N64lfyKWgovWmFBINX17xZrENAlVuAGKiZ99KIRYM+tZfp6Gx1FX2aqoCMsz6Ik0cTnN5a
mBgyUlp/106NMzeU4J9dP7KircShdJNMcXMhCTZ+qKsJTQ4Nn2MbqYeIRDu6Y3372QQ6I3mGuMCP
xHxUT/ZiuGnKRSc4IIT95kYVr+NF3CcmLB+V2fIOp9hGx9iAi1nZhD4+Ka82vueaRz136lJ/D33m
9RlBiGK85pHaypK5aayzCzPLGyABQ1SheBSxIk3d6MV1r2zLwuBcGw+GcJtF5V4NW8LVGL+20Eq7
Mm3FBkmavrakhtSaJ8GnIi8C+6JTQ8BlqW37YOkxvswaLAU9FRJuZXuZtIBFcHdWy+gr6vIvopyr
i3hk2+UGs9i4UuQfZNZVqDwjMstplKMYdManV50zJgIrPoqOFJi6KZsb4OGmv9cRMnGmRsZH1RXA
8DutHxOTCi1P0TWv2pkd3BPtmkFBO9BMo2Y5s8+gosZUFL22PXwUh/a5TR1shAaNzgfZBuJz30A4
X3kI4z+KGHeMF6LM0+MSuEa+MNcCuZP1EOYIFFaviuw4VVQ3RbMozpVTUGLJGp1j5zgIvKhiKN8c
lipArTDQYCsl6HwQUrZom16bPD80ra9/pJLhe40aj91e27/KCZOSn3GdKfcvmwq7J9AJKircP9FT
xqAnXb+OANUg2B2RH0WL4lWABXobsTlZrewre/KMVpJ0oYFbEyG6bS3a+ZKInf3o1/281ypkppig
aWp0wa6LhZdthtTdjGJ32QNNJSonWtjsmzMxc0L+clEgk4jsQuXEWZ0YHvIBRqul5sRmSS/iNT+y
GEvkZjFh7FB9Jpggm0D7hdjAEPLsa2Lex2jXqciMj6oZ2GPG8HC/vYqK05wyB67Hq9S0blFoF8Bz
EYpTDXXDyoOtiesqqBY1m7ecPP4CGgjssbmCctT8zaveSnglHks2A7QGOrVoeXuSG42Gk4h627wJ
0sEjvapGre4vRky02PQ+Cot780fGTTZiLxhlzoaVhiYbSDHaw7yX0hKfzWnpYP1Q8pr0ttCi4aHA
PId2P81ccRtnPZJ0Z5nYp04qu20E5AORn53y+2OHSOw9Zg2E6DB8n2E+TcbT66cMirmPD1QB5B5g
weXDuo3HXWawSbkOZcE7v8g71JydN/I9kwLRzvdqXAwMdbF8pT8sDUjEgScrdlEX4dLdm4CndNfh
tERYBmFMz9VY7B15/SoVXXrm/liwQr36F0RpWtMubZviBYIsd2TmGcs9ZS0EZDRlQbmvIWTTOrNK
TRxnk+u19nM1blRoU9LM3nhnvvb5AHN8JA68BxVf90iRi6QqrRXd0OZSBf0aWFwwMck1WlQk9Fi2
1G9wuifZIXNZNHWvMXSI5xDAgM+xMDFMCgnZ0i6G8NYBuaKDcT9wF+8zqMK7Gbs5+Smxe9unqvua
GY4FGISXzhN5Vfo+8Ixy7duSG9uWjGVXMRfgkm6iwdnBdXfIQ0F3sehqC2fjhhUbGy4ZVFDNaAuC
f+h/bdnwOlurqhEroqmkyWFj5znG8eKxfI0InZZYRQlB6NLrW6Q9vl2OZ3i5YovTyo63hnLGFcJV
UG2lFM0RbZ2DbClIiIDnjXG7yE3vCmwPFWGMBJyy5U3sR3wUPvW0nL4Lv3ROERF5h2wIrG+F689P
QYy7eEdwZnbZgnD87rR6fOhddzo2JZkZtAppIKbGI3JS+ZTYottUQB5AcIZBiiQZbRGFVEGqLzkZ
BdDInRmU07aCRPEdoUnOEzAW3UVASyyjS0PnBv5c5HykK9hdKBpb5L3S+T/2s8yvSsahG6w+S5Ko
Vja+vWj2L924vZaeLL/DXUrEloynoVjpqZ1OgNqC62I07qzSsPXWBBtAlRgMnYWgndX8dhZOchxM
giwGT++IWBg2ZNc0V2NPUkNu9NFNNUhWk4miNjWa/g4WHDyx0ULSFHYkamCrcC4bYgrtx4iN7NOY
FPK+GMVN4g7tHZ1Pwq7jDtoQw5/7ygfXSVqtCs4tXuND6hcN8LnE/BDbo74gzOxhjm3vue9Im6u1
W8u9O1Z1yPPRFGxrpF4e/PGANRF7SmPf0PMjpwIWNQlyZmJeQtwAjxu1yryl91ljo0FFQI/XWsHG
kJqdlUqaLXARCNxJlIyfokaXxZptn5vtTBxE5WFqkd6vDUsU24FO5DrQpnqwifr5mNqhSSsmdcxz
nyGWKE2jOeIR464eneyT5vV+MRZ9f61s89NIlslV080T3MRRNx6IkEhdworJNgNZ0vdTaIgLelHW
bW556mUQWn6aMEK0n7Uyi+EW8VEUXyg557TMcoCXrfyA8TG6ZcNCAI2XR4jtLeBnin5m0VHS+B4w
lM4xzlIqb9vZaG9oU5bfCzXi6CE6dBu5E6zdVA0faclHmxghxg3qZJdkTpp4q7xKynaFYba59o0o
v6JZaFebpDeNW5HX7sYXPZl3ZeGvBuHpE0C+6lPaKyJm6uYx6htSAU35pHglbkHnunS8zY+WHR8z
wmkvjckVH0Y0XwQk5PgqraiztpGBRq6LRXx2CJq96n15CHpIk7lPOysxLeJ2/LrRKLASJTjDwFpD
+3SKTdzYPbDHycA8wK0CouuyJCR1UTc/R0zeVnHhkRRo1wKPhVr4qID1LJTOrIUNIjTthbwpQvyr
sWi9VeXxCt+hJzD1yrYb55buvHeDgF/d15JmFco/ogNJSqXTNeud4avhClaYS/5D/OiZLSw+CUvP
cnSzjqvJ3YWqLO+RIg90Iik/djZ7/Y3GqdVtG5MkIViHLghziJA3pQb5REd4ejBhil1MnWM+G5If
HLy4vmIFGg6p7tJuo8rw1lHmsG+qnpagskVz4ZRze5e4JZzNqepGWqIk5gJ+qUEQiay/JVbC3MjI
OwLDCi7rPJ4eza6ICPQp+6ekTz7A8Qep6loBBYUe4seB3AskmZoYhbZzTl5T6oM2iUYQYRLsvJ5M
zZWS2Uh7vTQJBQn83pNESSYuT0Kp8nWj3XYn0p63I10OQlH9stg3owieYH8b2FS1vI+y2t+RdBhl
W16H4yHIunTTFsQjQC1emVpad0m0BH/KLBGbeYq7i1pMwmETO/UXWgoolratnR0/o698oqawdrDe
fMva3nsJCqIZ09xz50MSquJr4+O9CWVI+2sprZqyk6timNrVDBa0XhNA7W1BQzdwvgfIG33QX40M
+jfRVKgFCzVsSI22L/KsHK5nIqydR95v+ZWqCifB4ALL5yZTMOS63K3v+lLH3h2EdGdeu0a4RGxk
lAUYfb7klm3GO2C7kJUHk1ow96z8jEj9Hv6bvgQ33G2x/YZ6nXUBGEfKgCsbZwQrL00iGGkDGQCz
k1FjifBjjFT2bo7GjAZ5nOzavJ8u3c51r9sqaeUqbFsDXaXbn5y6UBfaasFwAW+5sVzVPSRjCdO1
vWiCWW/a0G7PZVd3Xz1Wy/2gWnmyBjfCfxs8UaiNOx+d5+BLcZsNEzkv7oBzb5fpMi5OXTKP1i4N
53nClyVhqdf0arJVaXvzXe+YzRedlwjiWfIK/GfEqmGZR/tfEUF7mZO2RVQNgRM3RjjNZyOZZQqz
nn7XF7CQD00/VWgiZdqLaEkfZXE7RprmeuL4d7VVPDdOoZMLmkx+dOlU5mc1hs2Vdink0oB74ZiP
kGAJip7yLRjiBGorwm3zOS35kxxXEjz9DV3odrcQoxj8rd1mfMYqWwMek0Hs38R2097w9juqkjfo
ePjHTv7mx3z+vyBp39Rppbr/+39+FiIg+AZBCLznVfxtsk9/My7PKZYirzPrgzstE2OXdGdyri1k
/O8M5t/Mb38ciORJ3gh0523vzYECSTHf4mI5vLoS2acy9lBVS63G1yA+d+liXYtrTT06s+B+/PNp
/nr0BRuCEAKuA8jgX6bHxmT55qTJUcka+8EbRzLvgRNQSix5xNrgqJ7yqQd/GLr+fHDrZ3bJcpGR
1S+KLqblDgzJN+c+Zi75tpGsDz9GksMYo0tEqm4/0K5kByUsj5MfFi/w32GYsuqX2I3YL5Zhn/Xw
5w/0di7NONoFY4pn0YPNRC7nz7P0mFClyY4Xiw9t5+O4RDu7aWI/zNj2v4XSek8+5f4sTlgugHCs
AAUKE3xBffiGl1IkeGVcQgsOVYnimAC45mPH2/hzbiiUpHbdf00KVFfX8RD0zlFKj+QPZlF4dK/I
eSGnlMyacOu1FQ5q7Hy4rmjwNyeJ9uVpSJipDnnNnSTmKqJWLz0Y6bHphHRxhJrvbTrzcttqnNdp
37O3IG7jc+0Oo7rvsBF0u1lZ1ghtHX2F+DSziSR2ONDs5uMIb2zqxGxAc14TD/TCoQzQivzGOlG9
BPNQ3TthzDZOtUugwiseyiQpWgNYJFh4eWGa7KotI7rFstp3UAbZLe5fI14n/kd5FnVDODVmdKa0
nRXUH18bIK8Oo9cv/X/bm++0Ny14TNxv/317c1fg5f32U3fz75/5l9DT/ItfwcYEIZqwXUq8f3c3
/b/QQ3guxpqlf0l38d/dTQs8GkoyUFqwSux/Cj1t8ZdrO94i6QP0ZXuh+594Z35Z2zwH8wyiS7ya
HhCZNw9XDE8RSnLdH2y7jxWmbiROa/QX9BR7J+Tuc2V1mXvk2W1CMj42/7hWv3mBvHm06YaJpeHL
9YFM5P2it2rbeA4HlPL7kSzJrT8RNG2ldrGZ/LQ8/A8OFQb0b2HKceneLFt0mQbLIjNiLywkQGjO
xxXJPQ2qdKv9H5wVlzJ0PB8dJBLan1fI2YI7Owmh8GFqfOB0EjdSUVoq7ffvvBhpcv9DN0c3mgvo
cE40k7kp3Le6OT2oPifgTe1DjNerge1RJSkh9YBtvoqytQ+oBAUb5prGpCr48yV98/r/++AOSiXu
Yta6N+ep6GVETqPU3qgFgKBMJ9vKImriz0f59R5xbe5LHz0pULbAf3OULg4c0jajfi9h7knuzYoQ
IZeQv2GbLQ2Md07qZxjbckVdG/0hDWjL5jZ5q9Z16e+hC1D9Pp5Q+Se5/I7P94U1t1xZRYmJhYL1
zyf462V0GVKgmkXWvXgo3+j8oiSnP+XU/T5DlriuopDEKzOst38+ypvX9ut52QJROVneCAqd5TL/
gzoGIsJaeGv93kmHaeUYxmVsdGf6uPaaUAL3nXP63VX859HefGmeMOM2dot+HwzQUKMasspA9kLD
jIFopBCEap5/+fMJvqEB/vjmkNIzSQo86qS3S9mU5BgxRh47K/EEr0ZBUJu5xADWc3DoayyyfXvn
D1OAwVqgQlJmcEIbcCBNtaYNFA7bXtsU1aPffNWaUh0uTbiyI9Xez+CSATuiJsrb+Z2F6VXa/m/t
6+vnBgfnm4tQGwn82zsu6GIPNi6PUTr2RMsKAgX8FaPtYWsYjonRxGrXTQADwOHqEeGkxSdyEzD/
g0G6RhTnkC0Qh2dYe/E7z4L7m1vTQTztLE84Ls+3ImBYF14+u4ViGJBs4Ty7m1QmS1AsOOAO3MYj
7UlCqUcPSVVNbNxJV4SlIKcc8g0CSsQ9i5to4W63E5G7jtVEm6jCKFnZ8XQR97a8Zp9lwNkmyaEd
lNqMPjSjVi3ytjE1aMYE0Tp0UgQNwvB3TE/IkWJrQ6NAnxRipxVdVmAHkRuudOFeJCJ/7Megu84F
hK/JmfOddHpSAgx1JpJrPrSpj2gNEO9KRwXygmRauhXtsCcM20AqOb3kk3OnAkKwQj/OD/gM1Znf
XO3+fLf++oAEfPOOzVNP2jn7758fR93Fbu+Oy5feJdeIE5J1GphHK9UPeDKbLY086z9+JDniIivF
Lusv683PRwylHoJwztVeRtHR6sRi3foaVuJSOpUAo+B9+PMZ/rpuB7AhA1RSi4acHczPx+vIHkZm
26s9lisYK4MYjyi4gNDYcnrnhfvrbRq4BCOjCQhfxbLLf//H2hb37pCNQ81bMIB9XxutdaxHDPB/
PqHfHoX9DmUKYAKu4c9HKcnaKZmm8LrzpClpDIXGoW/j4ObPh3m74WOl5mwCywqoFnFcv93v5CmS
Yq9BdKG1VW/Q8RCaSK9i43W0tEVEipl2uPFN3yGIKHiWdryvgam9tyy9mXq/fgxKGIuQART51ltD
Q9vWYk4Hn8GfLvzt2IbFjm6N2olR4Xcm5VocrYp+tjTr70U9+ndExBJd45rDVTnPzonUj+idb8D+
7WdaXONgccJFzvzzVxALwzCixOn2VdxXR1MSYmUiGpsr1V5HHYbfBNHVxwJZ2LpojemM2nFae6lp
b8KA5hOU6+8FVrnrHMAbws9PfWYQ65qq5n6qSKhrVOoe3DgZT9VUXBumeq+4+P0JMAZlIsVckPSI
n08gsmQIK33koibTXSz9ZkcaQvwIfZCXPu7HDV1lcw1zXfHGkuVpSubPQeo/dNILjz0RwmvNcGSL
Hiq8ZehTP6AO/T4jBDgBCQp3YxNPmzHPDN4VqthJ5nTvvBLeODWWtxUjsX+cwZunYFTMRuJ6AlbD
ePCEHLs6KVdXm8wwNwoH9crpPbIFMhM/KvqjriHj8M8PiPPbuwDYgOnyMFrInH6+iFBZBME4fbfP
DJoBsNYD9wtl1Y0vuooJlfkNf65+xlGdfO3kGu5MjDLJXmTLsC+Rpu1sugkbekokxKXWSEPf7kH2
ccC9djP0dVlsfZ8qy2Kp9O99B3mrmdUAzUPUT4ikaS6alwZhDIeZPHN/MO+9iQPFAnlDM4IHfOea
/1q6BfiY6LVQIeD8eQuMxd7g53Cnun2bFc9VtAd7WWyMmSjHekbb+Oer+5tl26MGZucpfH6x+Waf
RNinVy3iwX0TVy9kouKqtoaMmTtQtz8faflNP9c9nBaxZ8BUFiPe28K+jeK+8SOXO0nGD7nlxM/o
HBBUABeiv0/OBRB8zwhOkQfZ8M+H/s3bl8mt7fmOw4uJwvvnO4jg0NYGJLvo2qaPkQpuNMJ+U0Qv
CEy/sOX1Nn8+3mvt+cu5uja2fRxOrvd2TQ8Ho9Npyi3LNryir0zdM6EDnio68M4wfzej8qFOC72J
p4biRpB7MuBqBkY6v3Pqv72Z6NryZnFwqb19LTPvGlw6at2ecROw08YnPZhJ4gpkFXraJHv585n/
5qXp4RHha6aFt7SLf77SuL/zuOw1XzKchj1xrtF67oPknT3ib68vQGXBncTlxRv382Gyzophn6NI
Zo8s18FAMMdQAQLxosA4kq7C0zkQDUjSfEFca1ySGWkVW4RCF/PsvbdG/ropD15p5GzKkeK6b5/X
cerdOekIuHUGZQKM8ONdJ+eraZgI1yktY71MHvcJ9rpVjZTxncfK+t0TTDXExaZuxyX4ZoVWGONs
hgmS2b1IvjS+RJHKwF2dO3gaxKN7teet655fsDKY4lJQe23hbsysIQESlkOSr0djGgnwdmKGtEr1
Fmm07/LHf/Mxg9DDFM2jT53z1puawIWY3Mpr90jX5a4X87BFLB5uqeXTdy7Jbw4Vsn6SJEjGG3z8
N487yYwd42e/3Ssyo1+EM/m3M7NiuTI8ONB/vuF/eyzuRNNbWmq/rGoNFgnVBKLdu3Yqb0PX8nb1
tMhVpKKL+P8bjb9pnv1mEaPapS1Cicjw5e2+0Z6jGNIFR2KgH28Azjb3ZYx2mLfbzBCyRB1cJ9M7
y8dvT4/9tSB2ERb3W2p8HJuVCtHz7yfbYnjoQtxKsxI/h2l37xwqdH/zoqfSwKLtg/x2WLF+fqqD
XNQ94jVuESER6HnTpEi/TMQ4b9wyqoq1J7GSeNTkxbp1htHYsXPs9XbWvlPeloHLw0UDfg6PUTcV
T3YzYF6SSCF6wIoFokwVtcnnenSNqxxzZLeLkwIRVMewGxsBp0QwilcHwQaHF1PC0TGd6cI1khD2
rfTnbS0kBJIYusaD19uo7GDMuPYuQ/rkbZ2wSewP4YgB6buX0SyJQUKbXnKhEwmEUaa5TB67oram
Y1HRXdsnqVWKrWE21omYdW3sO9il3bVbVn1Avmk/RbdeZxXVjn83xl05AtrVq16EORGuuGHiq8Cv
XH/Tu06d4T9pi/vBwBxxkuQvHaxlWAjnT9oMV5P0qeyYV5AeLers6McElTM5rlGKTYSkYstqpkpe
ZgPbSawRIcLpfdeNpOvowYUiUg9ThL3J6CKTvgOIuk1DVD3FVYrA97PfRfRL/EhpEmVELe8bNzX8
BZWGTxBBEPGuqSDNezJw3dyZpHzFW9iBcX+kiNW7NtBhClE4hrQtmnjGWNRl4X5RKNTbIlrafyaE
tpwBvxs8ZgkJ8booawbYIkEgkTWNeyiD/pY+764f3OY5AsX9oTAC805V3ogrEiOKgewJomF47otp
V7XdTid+dRf5NFFFAuUelM6e+MRxk4d5CaRlODmkaaztpvtMgJRAiG5Hmz5jhg8RF9CtMW4X5yqf
AaOT15GeHorU2wtiZ1dUzPMKhGR80YlGf/EVBjfRkyNW+QO5RJ57GByNNUSjd0uLJ9P0trDt2xs3
hMtkmVV6g2aI1CQztS6CskiunJHvg90CBGNshXp23L1rWIglGATCUY2OEXTttc7ynqKi80HjC9Qs
nT/fgsg7tkqAL5knl3/k55zuEj4uecq1tjezmZN6rcjszsiRW0PcLi9Gh9hPvtkbcqPuSiMBuDoG
yW5GO7smY7THaIWEZaZ0vYviovkEw9q8rBJSyibVehvkR/LFM9pqbaih2QQ0rPcg1l0SD0PcmFWk
j46Z2sduAnFHk+Jk45JK3cba5e70oTT79gOA2IPvCpD10wdXRxWWt5BGXR99KD0jJiU9L4Pj0PsV
Qs022hDphcEuiE5d5KQbVCjB1syEwffQIh7NQmIt2TfcpdIYbtpYBnddr3kvOt2lmiIQRnpOYXRX
37t2bA6Bg5gu7cqS8WMwvIhOQa6CH0mHKx9SNU/rvm4rwOArKs0lRKROQ/WQ1wF6YZub57m0TUdv
fJSKOS9TFoks7kf8dHN+3Y7cZdkUkYaXW0ezj6ct8VL1Dnh2cMEf0H/xQCB7st2JoLMJLUP3cUok
s2ZUxpEY883c2fIjxvkddt0lodTmM+99w66/aoxlzcHJQQFuykD6YLxr/NiXeDnRdud+gAavmAYX
H3adMmeM6jY9SMmVwndZFZuZdHgQhZm+eQU0R2WVp8cx8+TWDdP22hrtAEMyQBwCMmnGJWlnfvEW
B+iK/m6zhZZYXDS8ZL+qLog98KkxmXqji9oO/oN3L4acHCma+z0Z1eSfrZpoMNHKBCi2h6B8kQ3i
eDTGnfWp0r7csEVzzyHm3o9piK2mS7ppr6hYHoJJZB+Hjt8zYVnH7mS3p5nAlnWqKyIKhNM904Vj
DJKh9dipATTDKnHC9gMp8y2STZHvcm20H3z0t4dMRopUc63yXYpK9tkFVcj+sB7HjRfhT930c8fD
UdiGu85NkW8AwrprUNvOsW/JsfZpIW/ZlYYSSZQ1lHhO8MutCLsbntpojGf03ili1zAeo3QN36kN
1+iQIEBWCYlcI+vIKQ6z5N4sEyyyvuztXcflNJ4q1F0ox5s8TC5ie+ajevnwNMDpHa/iKIrPuL5I
0jKb+apWi/cYndmxcUBgCjP17gdFwPiKSqRFE5Uk52zsmk+07uwtjTP3HEse1W1Fvt5u7jUa9FqT
oer7fnwuimbw1wjZ3TMPUctDxbdLE7495WUozsDemi9yiQkQs7QeupTrnZJKtp+nCslOwkUFQDJd
GNyat40rmy/ussNkXj4Tzgp6O91zZdODq0t+rQHyxZKiPTVWFl7OQ9d8UVMjPwwJ13VGCPW1tmKJ
JKZPuKwtQu9TTDdi34egRcOxc89ibkktGeowPusUpiv1bllO3+aMUAvNGxhvAxKe0YqmS4vXMrHm
AO3XBskK7QpAX1axQvX4v9qakX2D+fOc4pZ6bODNXeO/rfG/evlGAdQmyMGYI2sF9Lb75vaOvY1V
0J4maSJNNPrhQpacPN4S/RgYGetiHKXkA/PTjWnE5z5sCc9NApcKvMJ0chZOWxxljqBtpUKaOJs0
H6MTjDD+h2gIA/Jrx0JtMoyLPTL2saGNVXXP00TTGvIdvJFYuOsI2dfRkmq5y0l0IIcCKeN9WibD
E6zZ3l+PGKxPhWvmd4GS5GNmiXdvhHNboG4akzP5ARUqQ1HJD0ULbxYARP9kNjq/A7gtzraEZ+5m
VnTXioED5YRahr6P7YEiIzmLjqtGSvp0Y8bG9GLOgJoNhKXViqZ9dGeXKKHJtaguPWfkN9ZzfkfJ
rh/RgHTf5hHDwgkJVZdsjZI8aL+hzbeO+iRagH5WJxE6Yhtce0btk6GbkVEPP9SL7kTClgsxY9dO
x3IAUMi5cyfNEL1Yej3BncaalZyLPCNPr7Tm+sZwMpq46MH4rs0ugDzoOXVQrcNOvdSBwZ5pMMts
3ZZj+0JEt/UkYgzzA7bB796Qkc3Ho9feslrMLzVuXII2bMJn1jJz++9QpDH6RYPPvd80XBaPN3m3
N8fckqtX68hMOMhdqMgDS31v+A6Ao71VUUXjv7WbazWgjceU0t5aKojPkYcGX4WY3lNsm0fWMcjM
U8DzXRmxem7TtDJvpRF0rPF1XrrHeqq5eBAxrtgTR7sGPDyLGOo4+qaKsFA47MEnpIDqOiobJNBF
MRxeLREtr81LB+NNv3L9OL3xRNfsmkp0j5JkEAKMkxcV1/xV1zTNJhoa54sbxu5ONPgrGiRIG3xA
1dodYDtYXK8VE02xyZXkOVROiWSqlPrmldNbCWDCdrFQ3Iz6XoXiijAGoJimmbKXkWCw+zC7hkJ9
MolnPGVlIzksQE9zBICW+LDzPQebgibd6Ep7RnNGtxrde5FdH0OdonklLnNeWRXDxhbm1BGT42mY
pmKT8mxeQZqVl0ikiMNMKmKcbYcSMGT8Rwv1c+hCcMt9gOl5PTjfhkKc2tS0WNIC/gHDflvBC4XY
CSgGSscz9ba5mkxdfwnHZc5Uq11CZxk/V+0zLUsoSIesnp4DXFB3ZpWgSNTNwQODsglHI8V62daH
YJw/0/8rP8L6JUPcr9laAS6MWejZ4ax92ELJOsvz7pgbprMaIgM+aCmaXdf3DL6svtlQocLIDnJz
D8uqu+9bnLHOGMZ3fcdBsHD7N70ZVisa04u0GlBymIbek9ep4pCm/pPOzHJPuxRHu0kptyqJHlvV
6ZhcpQGNG1RSx8iZrS+JGY27ITDMPeawGT4KYMVx4GHsgLusxpxWYTxN3gXFhXjOhLuvXF0jT89Y
gOuM3WnsteE+LMLwZch7+1lD+LgOy3BGtVCKhybR2VpTw+5c1q6LMuqKJ8v1/dtp4FtyB5S3O5+6
cCUJlt+Cy2u+ww8u7HUTq/S6zbgN0qqISfTUVcOy1kzJSpTwQXUDMI8BwiqEy7fufY+CHu7g52zS
+Skeq4PK2yJbucK4rKdM386m/axSo9zxKO5whGUUai6W+wgYQync6JEQC8oMMexQ2JrZqoFlfheY
ct6QkxFcdAQlEAaebBO3IADdke65bFwSZcjRtBhaFPNxmurhysMkXlGjGTkPnFedGux45yJzMMi2
2Vzw3MmKbWlhQC9H5TgOV6ADsg8lrsq9a9GAp7WGDaidG1oafWoQSBA57SWewIxdnT9ALehllp/C
MTXviJMC2+LrQ4QJbiBu5uo1YK6rRp9Vv4YMwoBnVY2duqTvO628LjtYWOVAGDgr9jmfZV0BVk3c
GYOzt3AxqyRYDcj4P+iJSKHa9r9Ys/cdxWL7iYq1+AQVDPxC10GsLVxj5wx9vFV+X95OHhVLAcGF
oXeo5nWMeg2gqakPg10O6clw6lEg3DU7/+DnFhq9Snj12RhjTBnV5Ndn2jdkjBI1gouChBAWoRob
26cS3u6t3QbgFVL6yMTisIBmyf9j70yW41aurf0udw4H+uaPuBOg+ioWe1HkBEGJEhJNogcSwNP/
H6RjW5avfcJzT07YIVEFFoDM3Huv9S3VfxSdqX8pEcJ/NLFOCJMJSOu2QQVwcsCGPkJogeTZcuLh
viEq3eEwKNglVvtXUUMn+hGuyG5J72wpVsw+OnvCTeLUfOJ8TGWaS2GfknzqPvAMkTky4GOIunmQ
33NSAkTYLX38pneZ8QXzPTs9uvDprsOQ/AZjhyLcjlMtiKDNoBJ0CKQKzWUMvO2SO+Vj0QD1CDsx
qWrnJfgUdnag6GgMk+DxEObAAacqi+pRuAPafswY8ZtjOPxMgIWv3XgZBsWNDe+UJB5rxlYwdlzl
NnOQS21KVFoeRczEh2apXXbndHF66ka9JCM3UrVKE3TGBv/yokF2PdqK9uNG2MGs7bV5PQKQLsCv
RDEVXDKh2+UGTw+HVvT63CUCBj03woAdv43tCHUWBFBAanDiyO/mMPCpQ2PB1FIgsd5+fpnOqCWQ
exlPptHSrcl8nkFAT0g9Ue0R6iaR1YAaB/O7NgUIqSofHfRj5b7A7vlpVRbABCnzKT/UBl2gWxMT
nrHrncXB9NZXj45CUcEtZN4aqbjh98s9h35IW+t5du5QMYx7OSP8uAnGfvw+uvRGw8F0anHjErf0
lM+juUdsW75I7F/3uRc0cVTXvv5E2FE3Hyba8PGtPfBLH8xR5xo5lXPVaQl2mnbWVGrM/yqc89wT
3l16/2IGjm/zLY7A8jHbEor7kVK9kK6nOBHP3dh9S7MuK/bB0OLKHAKZZnvMXeYUFTrvD8A9R18O
Jf2/k0o7TQ95DjnROcKus6PutjRRWmYreMeaFL4M7xQFN5sw+1ckBz3Ow9IfkFWZBIUVt2IkSq1Z
j5CFV2JqKdAGPhsZUciwk/QTM2lCaeRg3Us0qxe0TOmnhZzgZ1Igxp9jsP9qUP9Mg4pckY7131rD
m/f+/Q8z/fVdfvvf/zmSfVTSyPnVYo9Ofv2hv4pQPeCgDHwY5QNxR8jOH/1hsQ+MvyAIcf11po4G
7Yc+9a+0UZM/Aj/mM3hE3I9G6VeL/apaoZceuMx2CBD9T0SoyL/o5P4yH0P5hsY1QMgIFJ6xRbD2
un9RcKRuameF0YnT1BgeluG6ckIwSu6ZobjWgQo3bFpmWfBY5w2VyjojiCN99B0mZh0Im0NrSIbj
flW4p2XxbLwyY7UoGBj6dD/wQtl7ooJm7Z64kPYFKThVO6fXhNx0TLbI581uvOBLJl+viOntwc3W
F2zpjEkusEK9KuxUuxwXY8E/VJK6sl0Kz2q346p6xABZ0WzqIE5jPtaaL0E2e1+x8YybHkPtNll0
TLmihhUUkYSAs8xIlG1eArMHxB5I90YRJxnKcXjo6CzsvI5haDgXo47R1DXSxzrL5nvcyv21TUwJ
+JeDzdabKo0DoT8lTlg6hLiFblY/FA4wE/75ZkuRMx8SpFknEz7U2RD+HjpJS1lYpdXOKR0XArJg
d+wVFvbN5HDGsXvPfMHHBKvIaotHw6SPjSPzLaEguSWqMNjQ6bLuBjNrj2M12xthmMQNLR10MNfb
ajNkmQkC853lacXVKtWDo6ONdwo8zWFNxu1Xzuf13kaWGrWszGdDAlxJ3al5GFvL42sXaXLDpmlf
lYAJGPbDMlx0tW3MqrrCxJbfs9ENdiPyLjBX6FASmmEPiKS/OnFcbQzwClSHouHYwn84pLwEtrbm
0EgciIVzwpnMJkIH6TFrO+vBmoLpbNWeuqN7RXsiF18y5J/vTuWqzZJM50J35o3D6Sl06beFLQDM
+7Ga5CMR7DIq86K7mhaBiCCY2igO8vu2yPqrNuUDGTFp95xPIK3szpyuMz3EDeYyE0wfV6pRCmz0
MU6eFt9j7wNzy2kiwyvKP5tlJHXWNaBu0einWR8+Cv7+LcaP4t4bS7Z8mrzBg0eX9N5noQ2XNs5i
2FHLcrU1q4+yetT2OQXJHtZR+aCbPNGeO/QXCPK4NgszrFvL3hk89jcVAuXXESZFivu4h5edgcWi
K1Y0oWWN9qaB5bUfCK3Zac1wdhGFn3Th3oxj13AIAmBBq8TPIj+btINVEt8edjyDtH1pnA2x1kfu
0n/StGIHc/+BmZ++i72zPbL1d035eVZDdicsqC89h3ywdpugsB9gQhRbcLVfO8xvR0DXn+ZVu1GY
3ZuEwr9ju+vnSKbm2bEVu+d6p+YPLYlRlxpIQpZBf7EHnGjjHMSHWo3ajcLgs8XkmWwy3X5lMexu
4Q1jDulaPHR54hznprM/2TQY6JyDuZcxYhbNgruXaScP7SMRquYrRWqzHTwgRkTbmRxrT0ufXnqJ
L7jBfj6X6RXINxACDJr0vSQySNDqStXpLlfZFNm4oh/AnRb3te8kR5QctHKXHIQftM97ORXLHh4h
85S6bvdLPrk3djtywLfUsZ3hCZIO1al7ZfefBmPWQJaDk1e2IUpesKqzlf5YEuRYBJvGaM3sbo6V
JXEVO1fCcr6Qc+lsXXcJnjJrrndIqfM1JiC+my0/vXVE917atX10Gmy0S2q8u/XooIFu9f6ta/mV
aUrWm7YuzHNSlDApTYdHWk+KaJS4jQuihe9mlt1QTKx3GCcodbxyfltI5qBeZX0eB57BdJ7mt2Ce
KEllqjeP9GgeS92l/eaX8pb0TlS3Y1BAz0qc2DhatRKoUYiJrcOCVG6O0Fl1rHPSMclL7hGe1mXw
0Gfe97rSVYQfkUkd8R20MHwjbZjx9n5Yu6WEk2mnaBFgseOWpjG20jSNlavpm73czT+xQGD1VkiQ
+IkMmkkuOMlSFwN7i9Z8zTXq+FBgTdW3k1Cme5u3OH/DrJr8Qz742XKZ7Na9n9iwH6025hXJFY/e
se1H53NnpO1JLHLG8sPQ5kvP0w+yCRGhiHD5eDbNytp7aJhVYd809PZU4Zw4NXOs7fogK5MDzvDj
zEjzVhRD8Uhb0cJeODJcE3nMgxssSrwyfe62o2nLg5Em4h33ng5NwG9RNiVzb18SC5NW6Nk1rfpF
IZAea5/3wxrHMWQOpd3XLO3fy9zWsUjYprrpx667myez0emlzVMbLkZJ5BOdLmtahUHDi069+d60
evrKnkz2BCfCm85a5G08OsF3fRIDMxfgLQ8aR+oXDRrHVRKmhCig+EZ0p/vhlIGThqmwmoE+xVhs
YZGmRwfeomS1jTrOD/NmJsRWhgE0rhaBmfA/DePsXAq3Kz60TM/ikxxMptBunar7uLHdT+wjwbae
lmRHjKKpgZzz6hgNtyGSYwsS62uepoHNYgTMgynquMqAiASQs9Du0sztkK1asn1lQpNfraJOEp7i
3vbgvcnlGAxN/mH3Tf5QK2ozQlPNKMVDdswNXHlGLnhZ66pvbpfGoizoVAfPwmRgB3IBI/5Njc33
1VGz+hb7onmDmjvuSi3DcqslAby4qZm1U2tk4x1DXYoDCwbQV1ufEe3TDkCWRcPvMHh0xw+epuq3
IJlKwEFLPBxrA4zEJkszuFqBJ7OXxk9t8iUqq3/IbJjYdEas5ur2dXHknaOAAHpSz2QkTE3IlZPV
4LX6axyQpQW9Tc8niOyasyeZPn2Ig1rfU6l5UTkMJcpu3872LM8ZaYJMPCIrN73LrPrmZIje3bi1
TYjIOHSbwuSBA5gAo8hv7W2jO01EB77fMjkO7BCNBqC5rt9gAiauUBsHepYxGqXJy+pj59ltGcqi
hLbWZr0XpsnQGRHKoupzPpt1ue0pRBu63c3yjTG5dRPrqt5gXPliJyJ49kQp3yuCS3aWKIB7ssTH
Mpyx/mkRc21WRGea9WOKWOUmWGzvDeBfcagFORIRWVkLoyhrtr54qhXnHgTrp6AXAr6MBO8aNu3Y
Aa4ktYQiiP+ZL0PuH2jgzA9+HjdjNJnCeB+DkRZV6dRviR33907QB2WUTab+CoGvirfEbww8S3q3
2os94yNozAbmgXQT7eRXWfyZwWL5PC+92+2sUkznoRtmYhA1jX5di/0Ug2F+JAb6Tl+G9HNTetdk
HjdEYY40erSt8lGZE/cd3Nt9oF8Hz042SSC9FJpJbd7S6CD/x0i8feNysAiddrS/IJk3EYhVdfKp
tGcPYadUTBYM4ClzZHQpFEuiw67wKZetQpFyNLNi3C+2028WzM27QdeHC1bMrTuA94CqMCDgGFwP
RQROgnDsSmSZbt8+J6Cxvrh2Fe/GSmdSyt1cuqgGXnAjzAmGBMcsZpSxo6+JiQBVGPra2QdGGUgD
ZIWVYU1MKkuLpW4I/BQvRTwVT6mjC+AKjkZ9EA+Xtp6CjAfcBSHXyiBKdM6IpH2cCArRul3ZNsPB
T4nTXv0J+ecOcXsbiliNzBNSB/5kXZvutomX5ZxrRn1S1PcXfsPiYhJW9DVe0n4nU8JaZN2MuySw
ymNTJNYGtPALsYlqiDACtu+J1Xh3Fgb3bwZwwp+OsP9WyX9SJVu4wxAX/usq+bl/F79WyH/8wB8V
Miqjv+gkT7AZInk3rVVN9UeFjPb9L8iHTbRa+o+MM4rTv1fIuoF2zffQSXXV0Iv//R+LjI4VSofl
01vLafM/82f+JqCk+A4sdEXoydhrsWj+JqDkyJaKavbnm6BcNNiPvqrnefeDDS0lIyBkGwC4yEqt
z53DEM2YZ4YilFR3P+IS2zUF0qwrErUHXNAyNaYHYgqcO1kbHWMEMv/SmFAoS+kDLCMpXcBFD5pH
bwpwa4BlxH4W8RTIGmwm0VnQf8eV31bE2m0gbfK2qpZSKohMw6j879RSczocFCaUCVayNxBgc4Tt
qWUnJF7N+AjCRLcftbLyzG1tC9PeJhmV9Znv0raI6gJtrPOxdAdr3Q0TaSacC20oNA+ttGHmqCJl
aCUF8hfS2EEwu/FTKU3xtBCqxHuHYwJKlvZFEa7MINJu8U5Jkd1PHIF7QpqPC9FUO1HFw3vA2xe2
nYyzEC0WMic9I8IcaVPhRQGdVrM8ZWSfMQgL8Scxf1ZKH5uz6S1MSCnV/OkqknzUjvRjFUGHuZbM
j7AChkXf6EmeJbvYrh2GbibZaMTOxjqngYOhJxxgmK3kY5MDoC9YAm5qtrGSuwAeic73f1eEnyjJ
P1sRcAHyqv7rFeGFNLW0TP5hUfj5M39bFHjz0e96SJjxoP4QIP5tUTD4I/xNlkXUzq/Wbdv5i05+
MSZEuJUE2qzMyj+WBltfYw8ZaBPigw+ZteE/6Zr908rAemXQDHcME/Fn8LujMx6QFtK0UddBfiRd
wQH7yy/fxp8LTOFO/OMH/Lb0tJNVyHriA/wMpi9H7yF4T8drGpDH/Geq2VXK+UsDEJMhCZKWQXKx
HTg4Y35zi5FnZRQOBHeQDQWxEEBhoNrpOEkC38wb563LpsT/ynvr9/per81OY9ZDgHtanliKm0R+
sFL6yFVokgg98PZxm6y5o+XwDWMdObGXoSUJzD7rQJCPRRdkccv6oM9n0CJV/DQ3/Y7sEefU9Zlx
lzUV4rqZsV/ZRyaHARJ3W0phc6Q9gOdwtALoTYVsRP4IfiYZGf/bJbEIGy4Cn2vqzhQi5WBygK/T
53kqhnMRN6gvFpYXtJtAeS159non2ziTu1x9xirqTatY81hGJAfL3mwjJN4sihgf6+WcIbvVHhWA
Q7vcWlQsgVZHfZ71E4YQMhW6/Y+b/99zxJ+sGhQX6Pn/9aIRvRfp96r9jWj786f+umxwYFgDumie
oyxz8Ev9/SwBvcHmtdJpgdM7x+/9j2cJ7Mv02TFMmrwPf1s3LBrx1poFxpOKagMvxX+ybvxuMNRR
bXPOdH3sLxwsIAb9Y7Od1kNVN+hjrqWCzj2qdWpUWZmXo/dU472rOfMpm0g73ep63r/2lT0+Y+Kl
NuyCsnn55dv7PxYZgyX5H958rgasDgp2z9ahQaxJtb+2/u1yXjVtw3g11wT1BOUtI0RIoCKCblDR
ClL28OqNNSOwVvrAPpusZf4bL5SEkR945UfQ90ghCNQeiNIujGf0n+g0gMbE3+iRoSb991f8w/X8
61q1XjHojdW55GCQ+t1CY6ee4N7O/dWanARfJnOy55GTo7XrvZnBxci4AvWWF/vQiFzSHeZct/Zy
bJlutthUP8TUUbuCI2S62qcQWAHZ6GPotWSlbKGdirt8CE6yC8CkecxMPtHMPueFQnrARM+9oXQa
5c/3/ev0/5Jv1f9xH/75Nnjg4TxuBDBlDDvrbvPLBIbZSKK0mn72DzxslbB5hXZu8miAa5vu1NQy
fImN4vO//zJ/8xNgyMD84TP7YTVf/7Ne1i8fyzExwbaTlNfSX8jgzsVwLfHS4TsTn/79J/H6/MNz
tn5SgN+JSRawih9zrl8/CRXTvBA4UV19UBjvHIvBrGL9ms0wr8VWbwbUA1DsfFSqlqPknz00v024
+EV5UHBqAFtxXVaH3x5zTK2woOm1XL01y0pmAwAjWqTF3lkkGZb0SlEQcev3qmiUGTZ55X3ri6A7
qmC2L5NrtTpzpqzKV8WFfLba2rQ2wp/nb7WGrFrXFulFToAl4QAcexn+xIzxu6tovX5vXTYgz9Bq
9WzWtF+/Pt0dGBk5sXYD1FC+p23fkRik5X1ph9Y8l8lJkWzwJfHBt05LI3ZuZU8pVcHofe89Ytej
GSNUhNtg/JYy6vkYmaJ7p39/i23nn26yZVs8RPjAWVt5O1dHyS+Pk0sivN6K3rrJ7GYNotmwa64o
48kKdkh/h6idGv1+lNhHQ1KKvYj4oD0S6npf2LUZMfSQD8yJ5ESjSiUvKkO6Mnc95AqnqZ/RGvgb
zgQxmu+MAwLY/Aw/AYzqqyIh7LbRyCdNEoMmA8rQdYY+Cnlw3L54MLPkLplLGqbF4DVXjCdPvSk1
a+OOnC6IKzJZG+xhwbmj/OxSCMd/jfXBPgnXNy6MosYgUrqgBGKlSo+a3zJeUbO/bAzlaBsSAb7W
XdM/ArsEk69k7+3iDoIc4DnzqREEPO1jT6Pvu9Ap/hJYejvSPW+0N2JvaeLXnXnMCTs9Gvi8P9Kx
ZiZaWzJ/TIN4AvfX2HjN4xaNNd/D3qBSvW2UnLa2apudYUzGuIX0CFQVPBnpE6Mp4q3sLOLi6+BW
xFqib6gP+wNbjUngjM6B0ifv+vMkdXE226B+dKyeBmOAbG7XuRLXs1u1206fsoVpn8/waZr0d5Mu
6/cuweERLWavD2GZmGOym/qs4uVQajsn4+DviMQSmwLB4aHkr4Ys5y323VGOHiLwLNMiL0bt5FUO
rgu7B39r9Vop962bbxOMGfq9QkuC2LLV8UHwJPU7q8fXi+/emy4QMdBk3Q+qgZGJFYAMmvYDB6Vp
Lq+d0iZPoi9rWcqrr+Yss95Ck9UPQ61f+7yX+XRCibrsx2Do46NsV+RzBjv5Ufc0pJ2zhV5m4B5g
1Wl0ZmSLgAS9KUmlY8hY5Mx13VwletQWPdISxoPMpg/57Kl1JlgE/QUxn8UTpWI8vCpCh6rtGIhm
8e3Iq+MmsDtqfAIG3TS5K4u0DULCjmzgktOah679zEbH3QMTolpz0cjxGuBxK3JO5LaLORUwO04k
5EzAIEtUMlFc5WDAB+nmQbq86xDMyW2VpP53hJZeSjFcmXAubMiUV1h2JNKW1s982nLqGuJqO3of
rdgSJe3JbdyNkNeDllT13QwEdT7oXSfryDFnEIPe5MzFHl87gZHcVvNFqyWWCov4JCJnwKxpCOd0
FAMDyUcvmZSBPFotFM1tTjP6YRl6y9pla/LWmVjODhWxJ0zRUy2MdfnIZmxR84ML3w01V4CZoFgl
+wbmZwacc61upD/zaGu8Ki0TGmM4tZbjwHONrWSALzByO1OvW/VpKM6Xb0UOdmvjcwGEGpK/1Rxp
OthwwL2c8XueN9aGOTGWlSFGV6Wptg7uMjALdgTzBHCcrLNFO+txwbC2RirF5QZevTXgAlRHDGMK
q1JgC3KD+HuhgZyz5PGhwYinB45E2JMd89aW6IG1MOU9Mq8Gzib8LT5Sa+uJWsQcrsAmUO6WQdPf
EDDFlpR0IG61MMDaZO3iVBjl64LxTDCJkvD0OuUsCAr6pH/6EZiGJQfBkm/w8O4GzBrWFkwwnHY5
EFG+KawmJ2JAxduUcdxroRQniyzJxsfOcdWXuhXWYfTgqYO4hD6A+ijm33GKKpvoyILrW6basu+7
3jGejF7jbyhXA7DeG7M3MeeSGbaVySQFu/SSzrzFahZ8+pmFwCAdiZRXYBa5Q5wIrF1v1qQ7oUou
rALSbJzZwYJPZEnwdEtWSfKrjDVjuycLx7zL2iHPH0yf+cSR/CI13PRYQzh84rK6gzIBdq9Sko+u
qgXG+2RKMur03Ft/+fXSFesT17VGNqOB57fAJMJXJUCyL1GQj7w6dZHkKdQub9V5ouR9T/gz1lSz
L8Wa58Owh6QAgA9HodppuMGAVXdhivx12k3EzVpbEK9IB/j/K5GcDXyIpsBYz8l9KT/hTAlO/pim
pFgLJ+e5mBP3XZUWlzG12fxg9ZPenROOudmZSWqePfrsFvuu1I1rEyTNKx5yZrPCFql5qvwkGM6x
qJKR5D2PvKrFmy2Gs3ytVKvN/DUvcuduGlYoaEP+TP6C/SLpDhJl4Pd5CdY1JF0j5KgDgKSn5ky8
V+3K4EXDAo+nsabfR95Ss51bJTAI9N05kHkGNNwEdMKyB+EmHIUZfAJXPibbwixXwD+hWsHRLiuj
+SZZkOcTibC8G2pdsdE3anyj04jDmE0GbKyBrcZFrlH0iH6ExUzZa5vsjTFC8KTNHNNPS9C3xkff
YekLJY2h8Zgqk39qkoYgJlAlbrKaa4QiWChwd0uFAPZmmr3iMUMXEfped7AlXsnDolxuTq4b3bKv
kQtXN6ULD1rrwbFtBQaW8ZzMqhYR9lMpnjiJgJ8MSpYRlk4iDXLB4JB8wNFv2AXm5rFIGiP9bFSL
5aP74AQ2P9e9RZSFaLBdboWn5clJi2v1RSQ6ufXEj7n5McUffT+RPUZGwdB06TZlRLSEyCgy625i
HotAwMUTGzb1qKM5MIQ9RTOnm26LlJG7poDvJhgA0N2HftcVW2OyJqi6hemjU/Abnv7cnghCmEn1
7Eir6NzmRRGz95T90Lmy0wWfeNZld1cGpcECa9ZBtvMR2CpcqK9YJpRvhHk+es+OWeKQVMRW2jc2
+efjQxN3q+Uh4Yne1j+iOSgc5umSWn1eXby2FtadOemFC163wlXIbFdLbvJWw7IhMamaIaexob8p
ipjrb4McR77wc7EBf6gj/LB572fXRXlmx8K7+XEq/W8n5U86KRju1yidf91KOX68i+rX7usfP/G3
NgotVsol6JRUpi6ztL+3UQzvL7QKyUVgJPJj+PLXgQxTHApinTUJJT6wpr83UWyD5iulO61ZujUU
7tZ/0kSh+fJbPbn+C/RxAHFyGKSg+61jmRv08xhauleUtdoxicupOZe4NPD/sRWuUwO2g9yCiaYH
bvG4pLUTfEEG+U1AbXm0vdxyIqOynqgWp5fc09Kzw2KFwtb02Qrq0l21DksXoBWz1vkHBgfWRpEo
1TzrZRNrIaeNtYuYBzT/xpEklKsHuLMJVVP4O0xU5VESDhp52cBseDaSDfRqm3O47+w4OpjmNguG
+7xmqQszXcWXwqrrSzdwWJvdsTmZIKY/2PffbHI5P+yg09m8K4/ua1q/kUenR7YjXWxT3btFjCy/
L+rlDJgOI/JlFtNBryt7x43SrmiSYoxY3rgTdILbOGp/Nk29ejDkuHO6AletmaoMhLYwX2igrPjR
egMPrY66VOgPM/Crh35oyg1MjZfCSYPniYn97VRO6/4TvEyT725HfY5ia5T3dqYROTi05rWVsj0O
RD5GepamFzlW6ui4Ir0JtOI96BsKQZgNW5JU8nNDVOe+qLTxS5d78XEG4LvLSwONCgfl7ZL5xjda
2NQ3PqKxQ2Cm34bBbLf4KqbPjuGrMiTgBWQ8J2yMY4X/ZpoD8CAvE3w31YtM5Uuj8dFlU1PnCTXC
ntGcrWWV1RaCF/V7jVAx9BRpNmEhR8cIybuWj94ygcTBSVIf1yfyuRk7d4cjBz8BYo78AL+oSUPh
eSBHq9HblNo4WnsdF9YM6IC5c+jmRvJgo0y5I5xmuY2V0COx2M1FWCan5VSfHD6FTCa8fPYeLS4G
fqrT9FGhrrk44AAuYnatG7By0MgYid9R+LW7suumr71vF2UIx7Yn3EmrvwfY9YcQhauxl16mLu2C
7xGoOfbq2McOP7kq+RAY4CLg8M4B2GaJ2nWovbNB9B6irt7TOTnNeui2wQLXvDT1MmrckcgDHzOi
Nc0wv1CgmHhs82bGM4aGwUzEuONggC9Xk2SWVNIMzqNEfhf2tY2NcGyqdhcQJcHBWl28xq1P3TJ3
zyhIS0maiim+k5FTbX2/CA4e/P1L62gf7uKAtBICCD6lC3aqVqM7g6QIoQsHAEJm9OAFomYeIqE8
1zFmfQo2sSsAoX0ZXYPohNRwv+aIBk7LJEcRuaNw96rFYNgavfpMx8a60/LYg/Xjx7uBlmeCsFTN
50ppdh/5flydfIq+GkUiQooZ0MQdc4FquzQc9l0X9hbtDfzzGEge0Ks6e79Qwyf8uhVEgBICSEYM
cegFSXrWaoxfjgx8SeeUX4kmDTBGkzYT4hGF6K8dZ4TDY0bLJJ63qfKX53FqJpqwjbETzM83Ipi5
Jb0d3wi/bO9ct0F167dPKafhh8AaDi3ZjbdqQIpXTd4JLTXBuFlhTkeUT0QlgJ+5AxiibQ2UjFNI
NTo/5l1R38huNJ9MJC9vWO2ajbYmhAyqVUd/JgjyWDLUeZyyxmRE20UEVeg30tO2elmpezIw2stM
3GzE4qlfO3RJEWE9qF1karEoNMEmYcB9XBrjg3aJe63tpjzSmzKPshvcMDU6GeEVM/P1Ju9bSJeb
OK2fGLzMFOKm1T8ugZi/SUS50cJw/DBn0r735mY9TRjovAFTIuFLnXzvDVO9SQm3CXVz6QmAG6bn
Ej75rqnLJHL90b3R8X0QfchCFMCa28SYLl+tShcHCswi0ijjt63dz9omo0J6ZRNcDnYQoBbJGi2c
lCAFybWH71msVZQVafXQNa6B/VKGKOH192SRybYxCAwxOZZCYO20NqrRxLyaS9JfWlk8dFU1nARR
DpHVtvUZG2Z/t5QOsRSTv9zpRhrcdqLNG/TX8bK1E7fdS7uinWdN/oYm2LgZPGF/o6E1bpU3fSXP
ds38JUQ2jHNFVhGWtovQ7CYkxkm9ILtJI9uolwcIrcGmtyr3FQgU74bl1uAafIzEaT7dlGLQWLAS
XJhOar/lBbIe32vSqxGX5X7RK+NdycTeTP1CXgtLuqlm8+CMpHyABImxOSNvQJG6+EcZFA+Lbhw5
Pei0Y4DZb3OdNB+UPU6w8dLxXpEJ/qJNDiyoQWIxcEtxlxXdXIZak6hPOh7FU4BS55QQLoC4Po+D
A+smJsdev3R0ax6WZbgbCHojzhXWAY70PHJ49p6y2ZQrVIFRnkviZmBgd14IDA587SGfEXhP5Ev5
qKtjUgLLxCcfxR12iU+XAoyBjHQ/vmBMyvcV3utjrKOsKxdssaomtYwXSuwGia866Yc1mqkA2OHH
8pI4Lcu3itW7SPV6r3GOPy9j5301vKL40na1dnW69r6zpPMIluVZn20wqYS0X5SyPASq2rL3B2/Y
No43PlOMDCfcqO/ZkvVHkcGwavJ05eTOBKhifkDoryXdKTVjom8JQn+giV/dLSsEAXCEM9I4u8cC
bL5i2FYXDIloOiwjHl+MNNUOxTI6F1mn2YmZ647h05pWzhDHtT9NmrJDIqaKbUrIRugRLvIU+Em9
H3DX32KxNKKpqwFeNPE3P09YAhMh9n4XYH0SXXHoANFehG2rc8045fMYrMHQHfE39YLfFuPH8h00
zpOQZUkHJvMe85hL6I28J1QtxvCYWTcjq+q2FsZb3KF2k5UNMKGuMIhoM17j6TITkvxM7nV5auAK
bG3ybvYMZYJdOuXxWzvME9TMtH2btBIRS4DwphrN8eipbNihV31TButKoEtjh5yGwimR22IQ79qA
26Cdgf56KIlPQTCTNZQU56k/MxCzGchUcrzaBaQ24ev4SHWveCauuHzkUJWfy8ZnqyctEXWkyv3s
tqp6Yx94SX3FZ41myKr3pEG1aH3x5pWTo+1FZqPjFmZy8QDUbJGMD4ckzlKGWKA+7hqnno7CLozd
5A+USFnmRMpWb52xBqUwr6r3tHOW21p5WZQ7rXGqlrbcOb6a3gc/9ouQBh+HlLxzHaKek6YMXaqt
jVMt09cyF/WbCyOSHJ7uXSbkanMh3+Ugm10my4CRQam1tN91P5JZrh0SEsTIoWpyiYjPzktkM2aO
3tR2gVgwi49wS3/gHTfxOC7YTqSLvc0JdGzceXbLuTfqU70geod8Zz2u2UFVTKnPOhCxCddMU4j0
ii1N/+6DdQt7HDj0ESETV26fbOE4tYSSDXSli/yeYLXcCjtiQc5x3GGRK03cddzqN/quycGc4njr
lQOtmmTu8lOLpyVKhNZtGhK2UIwSVvu5Ef+fvTPbjRtZs/WrHJzrwwIZnIHuBk5OSqVmWZZl3xCy
ZXOeIjgE+fT9UXL1tlO1JVRfFzZq12DZzCSDMfz/Wt8yZbizen8h8Zg3fsOCRE0/zi6tsbO+6cYv
rgBBMSEMoljbUS52UTUDi/oQ6AhHBgb8IKm/pX05QCQqqyIs73yd5LlziNwgzc8ITwvru3EauGu0
HbVhoKeo2CmvMgljBpNRQWljXWEZRAOa5pze6VFtjC7KOkCZk/5OHyB5GkM+IXsE94HfU3+hURjt
JjE0p+Rpowa3BmiqpgrSQ0+V4qJt+OlaefVnmzfPJitrxxUhbIVhuwFxI05S323I12t09SQj07qo
Ux2c0pWceYNR0lz6vXc3gxVBV+t6T07RqIg609ycQXket+4cSsRgrb3KvFIejLIpb8wxSfBNEtK6
qpOx3zsFmn9mg2nDrk9saoctjBhVCUIjzfeeLJwtXmRxZlYKN7Qp2QLgiSeUOdE4rqbSXvkG1zPz
pgZxPTifFPoMDCtpQx64sgz6c2ZBxYs7dztCDlunRTd9JhX5Ks7AcCOPC/UHPYbxZshinGrYmMyL
qYnFOuuU2khif2imu4HX439tgquAVZjwPE3DBpQhe2RF0tBBl1l2FwcFLXi2npyZ1HA5VXP8oXRn
tQuWmx2hbTsxwo7Tl0vc/aURDaPEBKyHrUfL4XTKVPshikqzo87Mj/Zz6J7mSla3XYzSnFpSey8T
aT1YTdA+VHV8H5W+ee4I3L6YT00sPaIBIlKF6G77wTzzUQJ+gMaiqk0UNZV/gfnYuSGy6dGfJS73
ZtZEsBuJSYMASlOKJD524EDgAb7Ki6n4lJlN9jHIxugkECENo6m3xAlHoe5jLvvxaYBltMbsASur
jJsNn6jaZeR1EZQuqxkDVudOK44e7HXatMUlkbjj15ldHzt+wyVxq9bTdesvtR1SoNNbGcN/MNsZ
ZgzUDrFVgWFtkfCFp2OOwyCZ5+wcHmZ6Wtqhf4k/nQOsJlLSM42vRVDPHxPE2u4KGh5fDtNMvTXd
fPqUM1UIRv5oEsbtz1fGVM8bLCsRRIShuKXPF2zsmXEliZNdYWcClSvIZW3Y+a4xHRBmk0WICDmW
1Zw/l42s5cpzIl1xq1fm4tKe4y2C9pFunkqzsn2ouzEoryz8QzZWG4/DWIunzwR1Qylr3Seewq9B
SWR+MqbKHK+t0Mj2XkJuQVoNxvSpIyhW382jkbG+Gh0H3u66NxWuO2jjvsBdE9pSj2fcEhmAdorb
xFvbyqr7fPX/UHqqxOkMfUkr8iQy/PauKEr9ToveOm7fLoozE8GMz66M6s4xLbQhmTIrbGu8jA3l
boxQJCtLIIzQJR1PWq/xF1HaSN7Fwc7dneHInZtY28CPLpp+3qq62/JVT0IyCnMc/7/Upv5CIHGs
VHj+bIsMcNF+INA5EkiU1tBWZiTGS5xZl37DXjHao4b7+xcB9LsofV5Cr37vX7vIuTj0DuNlKiD/
85eHca7y6xc1wj8lyXdKkuQYeL88kFdOaprntXx8+q0o+fJ7/qxJmmKpSeIVREQBifmXNJ8XBTnK
IBfv9bOT+l/SLgqZSBspPkLUQsktflGLe1QlLcDAng8vFGlo+Heqksc+amJ0goAAb+QtXM4Jj8HG
i0EPTD0twwCFQcbmgjyQqX+QQwjQ6ZCZuD3aFefNgLXAVx1Gj3Obpsy4jYE7uT7bJVy9TXygIRzk
9kX1U4RpdDQTEGUGz0LD/kV1mAfwtVLCW58V4VhesqjHoAavgsOFS8VgjmE8YLhLIImULi7H1Rj4
+I+hV66NwcN5dLARJdEeIUE2nZacmsH8LCoYbGu2XLKZPuDmAaa+DZx49G+CRPdJeJWm3XYEGLSg
ogNhkHvdV4vfsJcz+xuETKTdxIDbgp9BLf+8Ne+8NUj3F87rvy/kX6Tf8GU/Vr/W8n/+pp/vTSD+
cBjlJIBzvPbBGKH//RNAYKKIpKnKcAURyQKFsujPan7whwVcgBo/QQQkHC2M4D+l1NYfJF+ZiCGd
Z6CB/7dcFsciRBIdQPI7CIcWzIFjHrssWm3ori0UOaiNQ4Akfooy1XvpkoYeJSZ8QvaVU1lzLLeM
8eMzWVCDFWokksjGfaSeUCHgQbhsDxpwgTdPsMqcgrjOWLRII8Koom3cIm37qdP9t7o9bsGvsjZB
JiF5VtxaOrTuEgz2+4pBQXQsIjnLMzvmoIMR2Fi/kEKGpYpqgDd4RwlmB0dabS7pLGJ4hwYLOkfu
2e+XNOg6NAaBOmc0R87rzjeouw0WQXSZ48QtwJGW4rslgZuFxEa0et07g+/sQ68foh3xClaNJSRF
zzkPHG9hukVLNnmHZYUmI+oBAEMaT7hj3RHTRUPdiar6jH0x7c04reg0WnnE1qqVLTIUV/dIUoA3
ca8Nb9C3xQxViMOE+wgRGSxS1gZcKgRnGm+lH9H4Z5+OBOFFReDxROiOdNRtEExxvJ+8VNxJy2YQ
jHbhPkob0tjkEIW6BexsXWL3ZR8HHA1K7piGNJmt5ZMjzYKw0yaxuLMsY2mtPqtAlMzaz8aiFog9
SF+0hNJAb8nyaj6LAVDW2qsFXDqdlHyicCIwcJqtRH+UrZug0mgNYd0JDPnqjChgX1xiRPER9PiT
1zwIu0eS0UnF+EP/P68N4bvDLQdwcWfYVFw/NShXjC+26LhzqdLc66mrETfIJkDYM4CBmdeRZ3Bp
iEf8aoNtUW9FNiBdQ8RnDivDxGh7HQ0WqfCIoslbdEab75/llftItmp0308eMYr9IsmFdSzLTZt6
N4m3qClNcHzxNp0cnoLndJ16QHgxNHtnBuWz5T4y9cMD5bakRkHHV7sdgfXTDIUSBRkxXWdAe4rk
MC+PxF9uTtim6HxGcrrPQvI9rA3nLmMR1RM1S2dsvgHym+hVpnl57dixgk3bphZZRRI2KEdYi08p
PX/0IRiLgox2P94UbmtRRxv1dOd1AniDG2qfgkPkqNUM8PExzjr3YkI2cW8MPpqOoYFvYefxoxid
dA9p1AnWQIf8xwo30KfGNhGuoLKpURiZ+nrgaBOsk2zkjpdFlE8HoBoIed0amQqUX9XdiHQ2vI1L
wx8IsPS5vWNK7eLK7DQNKOXGBqjrEjqStUQXAZa1NxkjUnxDgcezS+3GGX9MGS2Uz/xjmf1o9KjB
NYJizDzYMWt8r+6jwsdAQEodWnfUQXk8RW4QHW1EI882H2ea/M/ZqdwZXi7KQbyUnH856ytywtWD
ilx9i96aF8GYfW5wKhrhneTEsp65Yua4Hmkl9zGkO8J1I6GvHdtt94Ay6eaRmcut9+ueq3g6R7JB
fjaiBfB53Bc/XOQoPQXMsyrJhbxDYmcY90bvz+05RghDYj+ntLkrJgCpH+dynMKPqWOW+W00EMih
SwOfVzTY9uk8AJJfzVPJvZSE7i1EwRE1RRguCbWNWco9igJETA6zSnIALwOf63kgA4HlwdVGyHvs
cQwFZyUd/hQ92syhlVOLu7RfTqdYWRLvQRdBL64yPNK0A2MLtZ9vj4AJPWBk7JNKrokSA9K0H8US
bYklYWyDjY67JxsTS/5JMkPA1dLR7EqoBxUN35WOEeBRmogNuQXKwp9EDzo7qJbe3KYrpHWZod7X
n4I+avPvLkQm0a6cqUU8VVIkElcl68/crkSfxWghKhGUZAzUHiKHRHAepThI3Yqsh9j8kuqZxl8a
B5eVbYYP7tBD+JutD/4Q63FNsnT/cZGNbfNOJRuflOG13VPEtgvqdHYUAZUrof+iJKTZvUG55+4N
NXrjee3Qpkg/xYlDYikGOA+PeE0fhR1aA7cBOtY9gBCxtkvzi0ELe0UQNXS8qcI2k9B/2Fu5iL8W
KvK/65gCcGXJ6qorvHOaQe20zQupb7zaj7+49lBtSxapTV3BcgnaqPpC4kG5ExUeuzU2PXdldr68
DmPAnJBzKRmJOS8u0iYuPopMwUUzVbebjU6vjEHrdSVR+w2IkK6GYi7PXWfot/3oFzdM682XLOyT
D4NTXI8+stQTCS5k105UlgiHqU4GdHwfYuUVH8fSUfFOIkA8D1nANgWZcYfCCPNdYDuAMKA+0931
EZukg13fseg0DxUt1gS0q6p2KJjrTwnMR25tmYarwGN/u/boK102nrZpMQ8lekNf/UglXGSqic5e
zLgNx0KISzfGFrFJTBeopZ7YDmyUFMNZC4OPvmA7FWsO2PWpD093F7vWTRbVzckCaNiAFmoeslw2
6HHE4J1WFLmH7VTCOoQYHn0AZ++dGIpENReq/NrIjDnYQXn0LuEdt2dM2Eg1q2o6HQ0rPJ27HDWu
kuTvCFRuLbjzfVIp725Ih/nJNIvsDB7VfCYrSXbcL5vPvzipHykz2J+gpud/qPxD8pqPQzHbGvhi
VjTRQXfAEcDeF0TU2SxC1OkD8C9DfYb2S+7fvuqy6/nFFfJ8VQLWcLCw00Ufv+yafpGeO9Gc+Mno
hgfAaGBdnZSJoekESsW3r3NUh3i+judzlZDdnjDNo93XkNRer0JUtE6+6Ex9UzafKfg1n5FhMmH8
/Yv5ZA9xO5G4vDpPWrzDRswm8EBPmSZGnTinCiTi+jlS+e1Lvd7IwiHB7cxe3FwM1Ucb2TZG2Gpo
0zugWrAuq56ttzuShQmmtj5Tfh28M0r+4noW5xCLYYIbyz3W75CWzGtblC5t+SS6f1mCqgSSHjxy
yO8bBTryvdt5VN/i2fHlMHGxqDg8vOPN+kTzEjR4R83Zq9hd+QZ2PrYlEStwhVoIVBTOHHttlAP/
bBoZy8fbN/n1IA1IH+I+m76PN+3YZllXTmtqIp4OfZ8C7hvRnGsLh/j/4io+rDm0SxicjzOkCqpk
VZQq7xB3idzj0UxPfOj174zNv/ouHCjReVGO48VbbvYvL5yHzr11Db5L2Kpg46V+sRa6+V8MExe0
OkErnHY4bh7LvGAhpU1auwcRkRtMk49BAWcXLegUddZl16ArfafS+Hr+Yk5nDuNrIcnnsr9/sSod
omksPOeAMdV7sPogPszmwFakLwDPVcFE6dlTM0Pk7cf2emZZLG1k/T1bsV69EdCPU5iorjjkCyog
qpknO4/M5znzgncCm/7iKzI4KK2xB8clfTxZYq6RXKoUBy2Tcj2VVn02q47oPocBg/452EBQ+psV
3OXtQy24pOwCPIRQfzRDDyYNZUQP1qHwWrmvFnpCYQagBMzl8PP2vXyOL/p9OSCcBx0OtVyqca/f
tCSQAahnE565gt1OJoxLed43i9tmmOVlnRUAzaKJbTJqAE4V7LXU5dAOOto5hnI4XNTuYxGD/7QS
ZbPrhBecXAc5Kt13htvriRC6OmV+3HeA8jCTHw83d0wpmjHCF73/OkX58hmYG+vlkCH+XpE8995a
eZx5y6MIzcVvyPKMfjLwjyb7GGWHiFjjDgaodYmAweb80GndPQXSYslMmmgZ71mKCL0v2s/D4C42
D4Cxt60SLekncY+mm10SZPTJQlD+9uP7q3vCTMlYsWye3bHF02zJihgC3vpyDth0m0CFrdiwD6qw
K/CULdFxb1/w1bvnLfnrKF3ZP1BfOb5gm6pl0z/Nh8EBy61I88hwAAFXZWXnNP73L0bdaBHVUnh+
NTaDGf5U3IbTQccaMEiVh+f0bznlQNfhlPT2xV5N03wzsCokWyOCYjo7euvKhZSDBHs6EPPAwRK9
DCOLF5FT4tsXOg6AFhAXbG/ZPLh8OUzFRwO5sBOENMAc2UFIHB8mZ7h+DSWryz8ilZrVWZMNVEKc
2AnOcf9g8isa3ybJtViWwbrVt1gYqRMYI4elNX3Y5vPsS7k3DY9SFlUvRCfFUv0Y25zD8Sji6bqD
2EiL7e1v8now0ENYuA5Lm8F8tRVKqylACKrUQUCc34xVX5+V2CtPYnN6L4Tx1UCnXcEYAFVBwdZ/
pWLuYlN0pOVJuuCArDGB8P3bmhg2Q+j6zKlISX7nyx3tgRyWtaU7gVwPGq356ilVc2lbNPadg9dq
57vnieEgnSi8fy6IeL6iqtPOhfuxJo/onZdMHA8R+mqCFpBHb3GRgbMG/D7XOUXUpc6I7MhCcFbO
hN4hrSScEMOsLdajjoKvnoWAYkNX1VKXILR5A20Zp3vRTRjThcAyY/YlVcT52eZDrNxysOgl09W8
WPhkCTH9pOfPv/bR8KFXrkdSZUMDIgyFS4Leb1wQ+PdyGV6FwWJwMnVQIg7Yw1GLCE/hLMK30q9V
lFP3yykcRQQEDHgrghhU64VrGtgVTChzNyPVhkt64saJJm3qup4sRFxkYwBUHzra5VhyhHlOWRoB
rfLdPsTHI5vzLke6v15QbOOmntqZA/ScHsYgtdaEerjw4XorQV26QlbsdtS+Tbipjwv/vuadsYjp
XPeNVVhPowzwX2QG0FSQOc1SDJ2IQ7tGwM0/+0aLS82rKVGehDKMkr035JyKqnbmV+fW/7n5JAmI
yksI9wNdBYqTz0kF2eMH1fJ0XNMhlxzcJ6lDKGCBoW8B+pXJtV3SyzvPY1LD0bQpHoggTVRua6ts
8tt6NlkvZN9ZWKlMDwWQKYJzwnpqAkcaSz1pZfItRjtz5++2V/XOhWyB0a79seAxEyrBb+Sru4/u
yMf90FghKMFcZM75wN0kZ6MhZm2X5l2ud16DHHRDHYTKVTcnFMKDErH0drAX/2SPXNr6Oo8LDExn
vfFBE/QJPD+fWbVCfJaUcJLCxrlWjeA2b63UwPafM1ySa86rtVxjdBubtQH543QYJN68DSGexnpG
t04skWAKd+eYEVQhG/dWwh9T/9wZIms8TbSBl6DDnpte4jWnphUQkoIhGtKKQHAfUmWMe1PLO6uC
d3dCR48BBtDfE5dGKlkbnvcB1OwZfXPsUWpIvJq6GcBoovAiCiEBquGp1j8A+EfXwTzAyH8uwblF
z4exE229mATTKME4qXpFptbLawVRl4TX5Z0ZfTsLHivCz4j9WDxDGIqTdE+1l9q86BymcRSljCKC
5zmZJRi08VarpWZuZ6r/OqWEIuyeoVcvrRkrcB4R7y8bidhhbxfUvvNYWtlSiZWU57FLcvzRlkkF
/nn5A45LkTGhduWfY+ro51Vupjrb1YRpqLMyjHlNy8ag01BMDjfWiQYHIykuhvRGVS0fxDKpnexg
o6rbishC/aXHCGkMFHpcLIRBHeLdc3VBUmCW4a3tZZRO34l8YMhmsH+dm8lqqAIneMhGm/dv9EvW
Y9oAKOITyhWMFYduDsBWp7P9T2zM8w7RDxj7xl4VOLZRrkTRXFKbNwo3OxQSCedmKihK7qigzQEl
CdiPh9JEftytqJB3AQWyuSc6/WXF/6dP+l6flHMTS/m/75Nefh8enx5/65K+/JY/1QULaQ70HLmh
1FQWpcD/dEmtZUf4Z1sUDYJJfQtSh+Oyalt0TH+2RW3gUwvNHcKUI0SwdEz/6z9+6yWqo3//P1Vf
Xtdp1an//L9oFFgPfznFmOTYLpfhVMj2lPbRsn345YyddA4cGNnYFz658/fT6IBJti2DQvJcgPVM
yrbd6KY+IHxoLdjL7bA15xjToBcUJ71Q7bkLxUA80M3KL2s4RclZq3GirwVaH3cDk2m6twdneOjy
Um66eAIe3HAoWkOeG2hIdRn8Ty+phpN+nKzb3lb152qIhquZ9USvA6NC8ZrPhHGiHpDjLi0d7DAy
Y9qV+dCvEPB3Jx5LEyqrJNMIA2Le8Y0x2bQnpsn3dokOxngfOtbcb2hMmF+zHhE4yXh5/tSygl2l
sTuAWqDXcgViHOoF1Xa+O7JDTB90mnL/tJ6kQ3CahfT/BFMxv2ovJe4DJ3fEaInbTqf0cGA9kUSm
gXnyAdlbRTPc77qFf3sjgqa+Cckdv52zfLhqi8XQ7RP2xS4VL1Gk6uEkG6W/R9YOly9z6jlGNd7p
a0meIopNR1LrvAC9+rFrGngbxJq94OYiy037kzISse2fBC5d6J0vOeabEFBLWZnrfOHY2S9Mu26C
Zue8SL4w4qL/yjgiVYCA0qAgXO+TagqHUvuQs8OQCGRQhADiH/Rl/sIQWHxSIRk/sSx3DdYOQofo
ukMdIDQVBEEEjmcHt3khE7gvnIK2H/zunA7TkGziF5qBqUhnAwoBMHjTOmpYBo4/72fNWg0GIhvp
FsA/LIZD1z1zFayfmAWpFHGEJc0stJ7WQ/zCZNAvhIbuhdfgvtAbnt/ifya8dyY8QHZMGP9+vvv/
xePXx/K3Ce/lt/ypCnH+ALTOoddDfG1xYvvXfBcEf7AHBeUCNodJ6JmG9XP6e57jQGtSxFxYOpRX
/jX9mX8ICDscmwiWRh3y90BZRyfXRY9CR4ZPwVlBLEnLv09+mYUOVdmOwebdcIBEZtO870NH3f1y
T/6iXXF02nu+DOXlJZaD4jCz9u+XmS2603jTjb2akTzkdTlt7N4Mrkqw9e+dLI+Oe8u1SFRG6oLt
H+HG8fmHZ5GpkH3pfrLq8Mr05JI+ZdkHWvL6Gh8+jsK3vxwnq9+XEC7ps3Zw4KK2QR/BPAIf6VzR
YPclYslJRqAT2ro7r2WP7rU2ytrFiDaG96yHttiRgDoQeUE4zXTi1SNBPq0boxEYBiTEvaYg+Lxv
C2vNFm4KJVFOuCzO21CFJ20Uhycj4YEnJfC9NbGySy6WVd4UeYGp05DdR4Qa1SEcZLMzsIFfRhNp
YcR/udXGJvnxBOBKeZrGatq2nSpvyF6bv4dZOt8nuSPvySK8MPsp3dIPhLHRFOZ+hkl8QS3HW/r7
dn8jFDFPsz3XVzOkpo/CTIn4hd2xc9ukwh0Gh7mvq3Fv1gRAtHMr8GaZNWrmadwi+gBv39nqzLe6
+hKFBuEl0EMeTepC+8IbWxjPxring4ez2NFh5LH6EfOqkHJgLyr1TVjPSY/WeWTalYGzM5WQnylo
kCW54YTvwyXwXyJk6SwtgbJJ1WQ7v/KxEY4R43xtJuSH0nIuq6+99KkC9nHwidAocRvGZkgGlKnC
pyxQaNWtENvkqhRTTTs5S/VODgHodMCXCclWxSKJR/90ZRZD0MBGjHHp92N/NvXVeB9Mc7HGdUOo
qygYexk7hpWTZkRt2tZtolNzHWnO2RxBva0Cg/+59OthV2uz2+Gfwzmpa698wtmbnCRV8m2SWYPB
L3DP4jDomxXanwTOBDcnofd30Rbl/AlslHFD7W4+N+coUCulrfzUqwbT2ORpFpH0UBsfHPSQpxEl
i/1Aj3ZrT2l+TiWuB6/pdV9za8mMnmMyL0jKSMMDt0Btksj71pI/PlqjvMToBwXEL55MW49Yxpwz
AjA0VIP4Y6iMlEFK9dYg5QliRanXShNmWQvHXIcRySl+051lhEbYK81OCB5tkD1Spcf8YPhfbAxv
G3p/01b7Xnsb0e0996hykcA+WitUoQ5Dm7dHu2JgI+Dg7rYIlsQjuXOl0V3kopq/drqe1jxZ92uj
8/wKWozY5HPX3bZuZ6yrLrht2zDdEqb5YPTSvkTWQZ78NKtLA4bXdgy98UNVhcSeWeGwm/BAVmP5
ybejWuzTPCC/c9XFQzJ9q7w0B7oAcQvwUp/rjFy5oIEfPKuM1Ne4zAmiEHjJ1lNBDOp5MBaTPi0o
S04Qh9gImKvIMOL5PlcjeH460hwc4fAaNR6SaVDZnSOzIO6KFQE8wTAiD+qSbWgpBD0uCck5JKMc
F5PLlmIVduxhTsZh9vwHjUco2PlTLtzTMhiViYTImIKdyuCSABUvO28Xo4aJ2eS4/CQBugPBr63s
EyzFshoRctERtVcN0p3kLIyMAaOfikb3s2iSJSjGrBab7ki9Qtxn/Wi4u1YzRz7hzOFBJV3SGYcc
L0gvP+QEl5XtiRWq/DNpb/mHcEBsJkn8Xi7mkxppkoriRxMGzsgWmNPG3iOqTsNIXxFBzd73OY3e
hWp0GAVWPktrdy9KgzghnU/ptCln9D4CYAux9u3ynyEWRB8mHNTfCCyFUFiR5bBzcqQzCwo6IU++
gmUM6f+0IfntkOJi2XZlP1frEn0uL3tAu7B1HE7mPnKoneUpkMsyrbDQh926UiYpdAYnA55AFH55
7u+04LU+zMqEtOxWxhJUOYzljbad5rvDBvOcD7JkrwmnPmvwR86b3ouLZCunsT6FzBNe4ff3HsGt
8vlspIYo9fzyxhjzBVkZlHw2KrT8mmt0ZMkFsri30U5dk/bqkU45l/WHuEwQ5ChOURaTR+71vLc/
ZQf/7ALf3QUuMvQ3d4EqP9oELr/jz0OvCP8gm4wDb+Db5guy40UabPmohpGaQgd16U6hAv6fI7Bv
/UFeMz/uO4GLMHg5mP48Arv8Eh1uftVGPc7Wzfk7R2B72Z786wS8fByghy4JaBbKYJavoxMw8ZlT
Wfam8x1LU5P9YC2JbHMzjsJou03XZWK6z8ga7XZqApe8Vmpy3W9UzZvq3KpRoYtdYyx5fjkyVNbK
KoxI6UMgli8qTxNSAROy03gzFrRIx5T1BnsgWnltF/2E6CvNSJC84pTe+Ni1zAb5W4IpW24LFucu
2DhTmFJAnHtsNSe2itOW1ZGlNJTrYtQGRIFqyFSTrieVRGiDf3mQf7F1tZbu9693J6SDt6Bk+QsU
8StBAzY/qH5qdr83ahxCBPmxn6DmYg1ja0QycMgltZVW5Y+W5MHpDg1ryEcTzJR8nwp+mf749kd6
7pT99pF8RAEu6mT6d0hWnhuzv5Qs/EzoslYyfrKAIeQXDebk/DA7C/XoJMGQzfERFwTB9rCVmoDq
QaabHDCg2dT5Y63VRBC432MEO7CYK9Jb5yimNjAXFG/VtqPAy45QepGht96ct97lPOcWP4aBgp3u
yoxV74fv7KJ/P4k4mKGWMUir1HSR4vMu8Bh++U7EKsJxy4vqu4mi2/vgVqlR36Imrefrt+/eQvH8
5eZxIRvfiBOy6X9OBFye9y8XmphjSeHV0RPHdlBi2wbFqgMhwuQNh6WVOVc4NF07wS7vFmR7NeSF
DLestFX24+1P8vuxYfnKNloqunkuqgtSBo+aeSTgTfAPM+9pUIEEskONHQynBEri2wf2Y7PrvXOT
j68I2pSTCqOGQSNQth+dw1yi6EXFQvIYJoHdT/towqZ4b81+p8Tai2JgGO9c8fhucxyyluoaCpYA
sv/xyU+2yg5i7uYjSQg9fzq0PjVf9wSkDLexoEo+baLQi/ne/cS/fydBx5RXukvI+H77bh8PMCZY
17UoKjKjUlI8VuyMVacH7Kr2l8TsrOlsIttm+kYKTcijfvtKx3dZ0NHk29LW5GognI7m09xxW8wY
mfWlJwMiv+gaAvNQfmZgoPbgWzBLvDNHUQ34bUhjOPHwabEeuEwGTOK/D+kugzkTjJMEg8iQYldh
RzOvuNUnE881km2h2Zal8ZSEaz93k3javv2NnVc316PzjRrE9fE18tWP3t6JAKLCavzqC4bvKa62
DPs535J+l4TZyZwmcr4eMOEyP9FgIV9sM0/sg4cTw+1m3sHS69gQntKUXm5OyXmVv8H1nBwP33po
1zaTU1DRBlD5WAdqE4Az5fhIVG+Hjscf3YGxNUw9gh62PWbnsIui5Otlm87HkP2Nkwu0SBA4ZZVt
A72E652mrELAZevcGLiMYsedT2tDCh9v1kLw45mx5XKGOx/KK388pkhyH9e+WsrTK+WT30SZLhdz
m+0ymP0LxRAzR9iscWAsJTxTxSP3P4gzaQ8HMWg0OGcJTID8HSjwqwFHa5vKEp5SBC6vh3ZfRU1i
mPP0uU5a0rz2cdNF2InDuVMdIjsawnyat5/47y1u1jCkLWHIF2VX8xdSRiq3U4cmbfwcxlS+7C1B
xx59W2SBuXFpKpNPsCKjr2+bnbYimwdhFOXyad7+GMfjznRt3jTr2VboM60fTeYGihW/Jqb0W9G3
kmHVTs3yVBgN6Mveudby2v6+cLATA1xPvQwBJ/u5398yQeB63tA9fNJWrFLnO7RWP0lOo6ZnIY3r
dlkzcC0vwrK/+yVZFPGNwXVjDn01axNTqmSY5eobmLVlDuXmB8NtJIyUIfr2pY5KWcuaFOL5pBbl
CpbI8Fg9mdW1lY+DKJ9U4bilvweOXH0sRMema935MVb+Kx3OkVme16msPHPrDkk+32fKb3g7KY5H
mhGXRWV4kxEqSxskQQdVnOdDLINp34+OwwB9+0O/ejCkHCJgxBeKAgew+9F8a4VAX7Uwq28kf9HI
WUmE6NmPgUq8+1DXpcfsEQFFe3fwHUm8uFmQNXgDmHFZTRGXHF04MixTNyC0vjJVWQLcKQmjQDD8
oElAmVsYlIC1sO7n/iPBkbGmJCYlJOh1aaA/v0vLeWTSSAI9d1/jysLMaleemM7ccnLQe75zl4Lj
aYIP6LssSWyzApaL42eLi7WRZS/rr0mQCqawLJi6+Vp5epndfk7IoWoUcnc7SnmbVOU47G4rb1pW
lRCIy/SNAYj9xnuZBNPIyYkgHiyg5z9edpRO1LBdwrIWew8qDkMm06H0c0bqQDgwT6eSnce5orKt
gSeSkE3EntNQNIGnjQDwHNxA0O7053lazkSrlnhZ7oXIMpslzZxTj+lWOK3L+90mYOmo6TpZ+d0b
CWKyVnYXsb/g9Q/dhyqtGJpyrjM+o9VkYdWvrKq3HnJVN1m17T2ySO9nes3D3SChr92qjP8yrpIq
W9aTBCEAz0yQRs+lS7RXLBAZxkBedApsS1e6XsxjMcGalVe5BChngp8kzzjiR1KUPqV34qI96m46
mt2sfngpMvaUStIIm7YZgvDhzkjHZQ9CQXW5GglLjXdphzkgYTIN3WEfOUObXhQOqtiTEaBYdZZg
DOsPve41Ywky0jLzpUPKrgYSVrKsPC9TfhtEgrcN7sWyv6udqslzMvuevwA+/ISvWvmgG7ONiaWa
G+qaFcNP6XiZxAowGUa5hbnq8beUPmOZrVWT40b6+We0TYuy0U6JqobuKoJ61MghZpd70NvpxKU1
C1N2mOya7xS/3FWHsF3unItMgx8Yx47lsCpkz9JqJeFyRRsoWfZjaiKP29JMfsvXY6JfhktNPmD2
w4bjzqDJIi8rb6sOWZW/yxaWprdq3EzwTg1VGDJqYgGwYwKlBpHjBxpNuEE7mM5IlA4G9KLpWwvB
lntY6wFJAQBuXLzRh6BAVZhtZr/HEnAaUUJFEBfP1XIYzYDC8muTx/GXL5GFGFYuWhtoeLytDbk8
d18MzAJbOds0N7a1AJ4TwENpHf6NslrLXgDMicOfUk9gW7pNn5G0xAIZdz5rlxT1soeY+Pb8R7KD
l8/ihJhFPSwyPq/gFBCrVQPf8Dw2lLRc+HhZmQbLQRR7eZ5eKmTC7kPaO4vWPyTIko+VOeFyj9uB
LdCPHmIit5Ng5mXMFZxpnX3WadyCu9j0liG61AqGuyao+P/WgtDSYZjrmBs4Cy9bNiRmvOeQhOdl
8lhwz49Za8vllXboXtQbSQgMT8JVHIQrAIWWzU6Kkil3Ian9Rk37QZuImi4GlDr8ga1UENbXFMr7
ZVTbaSq7Dbkps+XudVC4oHgz8y5M4GIOG9Qv/n+zdx7LdSNpm76Xf48OeLOYzcGx9BSNKG0QJCXC
AwkgkTBXP09Sqp4Sq0eKf98RFVXB4uEBkEjzmdfonSmrMtTzfZMKcBmlSGbJcklx42RuAydJlSnW
G29ZZh2GDbTh3F1UU4dtCBSm1r/yPU+V+B9Sg+xMEqDCya9bcDkJ7CWa5Hq3QvjQtJD4RF/LOGGh
rVn8mKyB8IznahiM6bykVMc9JsbAu+ncECT9czNYOoRtkmJJ27uIuqLbXLUDEJmQojf4vGrHRsx2
s5M4tC9dnIqxjSJAMT72mhtwwzJDpwkLjRRoT8k267+uuCAQ17LZLjxzRKufwHrTZ3OWpRdlm41W
gP8bjSImT17oLSWQ00IAVi6JnpcmTqLMocTJO+LQdm1XftfZEFsRIPcctkridUZpW5e8jwaEmGGN
3RWMNxQL90XTjbylxgLYm+3aBZNMP446U++CI4PPzDVzkUi1N6WY+CQ1mY7fyZ6W+DkYI6X7N7LQ
qVDmjim7lHBnvKbOZWawOyhGkbVg2XJgQqmud5b2xNvvFu88hJnqHsMKZhYB9GyMXNq1EBiizUU1
nbN+EQGnfJ14YL+QUqj0IUvrvGM6zj76gfghYCfB/rCEaPZdz+bSY+/LFuW5R9FJ3I8h6/Ytvr+1
rUMsk8rr8lqHaL1d/iyssOvrwZnazmmjAySyEAhpCuvVMU5jgaIMSAGEkbZdAjNk55rwF++Sbubh
kSWq2O01pYI7Ri/UYJQwgQ5Y2AWySUyeMMcRsNz8nNZ1PunfwSoGMxev0Bi5c7819HY/GCGHlmUw
K52dE/Qo2G6IRFOT9WmkOSvXDRMvsNCGsgJxZedsu9shKhG/2wSrtfgwEqeqvzMx4r6PyJFQbu17
hIbO/AaGNKYmahSvGAp2xnmf1oarBZgCJ8YOIO++0kdCWawMmrb6hoTq2n+q6VP1zxMiutP1iuAs
VXujgs4kHG8SaBuiueaJuCP3Hcb9NHmhuuo77BbbjV+jDnfhVByrO+iiyoo73lHPJg/ibi04hVWP
RHc6l0qH9Gs/oRzkBktlg7/ojUV+iWxrdO98hKncNC6QuJ5R9K/sBdtsEfH8CfM0SeVJZpxkZG5r
Na3rFpjzavb7xMaS9pwWQoJ2rCwvJzhiYq/QkqM/S4C23qcFXQUOPl8GZwP9hHDjuNK24gVkMxbZ
VC2GaIvRAsJwmovUI8lRpSjVOhKPNHNaoeA1pnmwJitD1kzMFqA0HEHWPM4SxzNuBI1w92EcOrAy
SA7jc9ztotac53vt5iIvjUE2xifXcMHSyoZZDRbO9/uHFf5q09JK9QNcXUIcmlYYmioQ/hZTxwob
lFyCNl1RPq3bTVS2Wrkz6NehC1+suggbpGlFq2ZtS7t0NIA9B9uYMRBtgBv04GE/J5Om88LtWJpe
5R+SGg7SVWQhvF4ekKIkrM2+o43qyMiKwQ+Odru1PLms/s53UGpPr3qbhylufkbf5oI2lvVpSusW
JPHUYtOgdaKcWngP0+IJ4W5FMvUJmFMTW8nyuKgAmj+Q+okF0+NazPxHKI8G1qF3ZqWPlYiNhMXd
hTp8RBJLsRwy19c7XI1rGVtJDpbQSvbFgs1NpR9MTOH52sE/lrGXdYqjhyZqwSkjGy+1ASmjLizR
p/VaHf3hhKMzh6CwVu52cVVNk31EDtV/gj0HcPcAmjFATTk1JMVTMXaU1/beMBDZh8hiCvvg2h5R
8GQSu+HlgQY+e1kR4m810TRFxpIzvB48c6esxl8dEFp2RUiEFrDDnoJIoC4pEJdgyxF7Xt3rDbGu
bM7oCVAHoQkccckAIa6lT86wmyhsxD0eI1wbYnnQrneKYhS/a5MIcTFN401YS4PX6lIMDoF6nwQp
DfIptgsr4o6oJQwY+AJm1vFqlEATfrTl2Psv09Q17d63i6C5wMFLcSyCxNKxVCMCHbJkkdRjJNvG
l9bbaAxLGW2nylKgrTkPKYTS/02QX4WU3HsMP3v4okOk9/q1j00pp9TPE8y1WsaxbE1dgvXRNObu
LScxGEiRukXUHpa8JumoRoOBZZsp9B1A5UQb8PjXSKwdS2gzCkdXw4Im4xtbup+1uy0tCAhgwI1K
T8UcSWFylnpOvCcY6BTTf7xGDkzLeiT9G+U93OuZJ3aKxuIdjQONQZrhyCFM2c06FWYSfVFl4BXl
MRN+WoOfJRxV9ys0V54KJLyupvc9nM/sJEykny0OSqAXCMHai07kQ79jstQ0IKw5ziezD+QWdzKi
lNROdAFHtQLPnaMp0kGFN6vM7Da/8AEocz/L6up14Di9yaMqeODqvhoQpEg2sPt0Bb8pOj4AplcH
alZFapx34A6oWSUjKnOHzg4q4uz0x+maKZVyaI6AjllQDpoL6h4HGx1vSgD5SJCjxU5kbTICxVuy
gsdfYv6//vSPct9UhQHHpZVxX3acZYEODelK6oqv5Qh9tz+WRylp599X4wTL5NAPbHz1hTNj//hV
AVsEwwyhvwxY1egRMk3zhZig2Lu9q+du1dhRc1lPVqrkNq2GELsavqB2CGqnduHdjoaquVaz9jyC
KeAYUqygTl5sI9XqInQQ5f2z6sfcqakujkKyuYACdS7cyZIlBDbPZp7Vpq2TwEJ4ZGymNesXMrgR
4SWJJ+9ZLt66nDuTTf4EnmuZ1WG2sYV5Vpk1MyjJj8hnSE1FrDG0Yc/T5gD+CQx+ZsTQ3yICgzlN
TbKvJu0cfkrJWbCFMAxjfnXU2K1wfpSJT1omMtIRlfXpYBxDXzjjvb9WzmjExmRRbjWySCfdgR/q
KKyfLZ3ko2yhA/lUtMyPZEhS3prEHZxwHf1KHIDyXnk0y4MI+dJHRl3vuEC9SRlPXSAaFEfJH5hO
PtZmfFGfrHqrFOzJ/hFRTOr2uyaYmfpH0HCAJJYyJI76sfQaVenQqjLqCDXypWurodtKpXRVsGwm
XT/C4+TdDAa+7dRcm+6MRTMDsuqM24sMyUBOVqCXONlyKi598CcEr8tUpIgYNfN468/BOpzCcbaq
Ywg6CKO9MTAQ7SEJlIqtE5HDlq+JXNmzVxVdoyNRdEPYxePpR9aIikzJKu0KhbnPJQH/SHmYyhVy
KqDkdRb4I7GoklXfdLvOKJrGrLKFBrwMVzJeV4W6yk2SBEQpnrKm4ZXmFOS5dfyDOAl3CBIkUu6M
uXHLy0BQHOGD68KMQrtEb1iS12ignlEOaJyjkkfjhFZn5jTls9POOkNffuwcEbY4jGFtlX+u8/6H
mhEYRDQGtH8llK0PBdZwprEANH96mROp80yVGRi3gcZduiraDGPP8/6hBvmxpkuZKiQ9dXU5zw4J
nH6tsy6iaUJTgkby/Em3o39MjQoWJUfX72ti/7yUBl8C/dYdcA1N/PVSdpaKVVGdeMndRO9PKBA7
UIJnNmv2rt9f670a+Pf6MRJjNMMc2OLggf/ZZh9MC2s38G4vs1MjFYOadm0zEz2aFSxDLGQszsLV
b9k0xsb1wLKNqurCKtYSC/4VVQjdqo1IefXe82Nn/tnM1aoeOkQKvIEzAfDUxE+/v/1/DBUNHvCN
ERxH0nH7Y49p7pNaplOA5BQC5NwHB5ROCzlcSaF+f6mPcw4rM9fkQhrHadJ4/zDnGr9rJho02Zey
pVpwhiixrB9sIM/9hT3IP8hRfnwuQKmgN0msfNxnQ/cjd9PHrDzPxDB8VR0GY49eEeiNsiiE3oh+
/1zamvvvHQS+HRow8mt+8E4VNT88WDrh31M1yn5oBonPQEK2L9N9StWBwDDHe4vdhIZ3zX8C8htO
u9lzokdiG68PN4IqCBkLEYLu3wuku9i2rdXV51qecqAjzkEFIsNhU2eBs6Gj5lD6LXuZCn1dVQGN
xae1AC0PZ5Qery6F88vXWarWTVjOz3LuTgYWHguqnK2Zuj+sgn4hYPydcPFhvBmDiIjHZNG5AUab
H8fAw/Ioqn0cA2AY6omctFT2wFxNaJo//n68tQ35r+NNV9ILfAAXfkgZ7CO1Y2oFJQjLTe5DF81k
rjUiCXtV4krPo470b4nvf/TeK0A6jEIzY3Ej9j9/6tWoA2pjMhlczw10+k/oJNjYbSyXCMCNErbb
ejHQf/Mp+Iq6nA6LMxJf7NBkIZrMVzqVav+zTk5xVddcjaqwiT/W0Fz5nWpr/cJXr+AqxnszKfgR
ySsYUuQxhpfpN1lYLPJpEyi6ue1W9kinEkj8qDjTZmPuotOuY80kISmATmihIdX+oYke/vr6YMq4
NL5MG8ASWp5ayvbXHbPjCUDBiuS1Uk7wVPSNZ2P/YXtHvwyFS0ksk/vUnaPzJcwhNwgkqI41WlyP
Ks0Bjjbh2ByiIXU2EZBENNPQ1XlICPeGm2oesA7JQgXOMipuayrTr0q4g9j4PfJyMaVP/1p5CaJj
Zj5c0mbOYMTUmSq3xlA4n1faLuoMhkzhbQQwS3dLkl0+ohQqOUsroIkxDls3Lq3mcu/Ch74Mll5t
pVi6HS2k6hFlffesqmyKaoWQZL8txNQiltgD0WT0zhekq/INnHwTmr7og3ubs/FZZK3lbRDry4j4
02E42EXT3EP3Gx9zB1eVTWgaSNEbpLlfsDwevkGI7e98dxjAOqAmWsxjsaeqtgjAqfRiYtCIubEZ
3VqdVZjmyAmtXIztiuLzGPp4lobJWG4l9gr3awH0lN3ayEiODTc2ffMWUw3zxV7k8BUZLPchGz0E
0WYfC6UASzQ3X/I/CKH8ulkzIejCcCZg3k0LjO7/hwnRki0FQNibb7yv+SayUYHc+VUrcV6Bb/3w
+xX964L+cbEAoJzu3QPMcD6EBsnqgtfoo+abbwY1GKHZhNVJOWJT1+Wlcp2RcClt61sq6uAmf3/t
f8z898cEq0OFk038Y5dx9PCpAiVff+sa7V3nVAJeLETvP2qUvH/T/wsU3p8SZht9Ou3w60QfY64Z
Ty1b0Vr+hmwNa8axOS6QJqytHJB7FXxqkNH5lA+JAZC98iKxdZTIK+S5PH87Y5paaAUC/7pHZvms
MbrggfMWnXrScPlY14SZGC/WYmNLy701VdHgR+CEFw3VjFtlL/bnqCCs21itZYo4LdNrp8Z4fGME
tU+yU1K6tqaIPLSPlm9Fm0oqb2O/t1LPfDZn6WBbGzl/ADh8AOExJDoMANvAuDic0R9DAssIhtkF
VP8NmyMGP8ud7OAgMHKc1/m5saLqC/6A83ZErwByf2/4RzC+sB5+PwU8PZl/eTOBBmvq9imKAhzj
Hxq+iHLWVNuy4BvSHIjjV01fYnsFjwcppWqVW4Uj4jGo5Tyi9yhqiqNtfUT7P7pUwlcYnwWpcb1a
qXvE74w8swc+XOeUn+K+NC7zpQkuFmc5YF3p3FMyqK5bg5e28akjL/EqZ6qUBZa1cSCi4BNYEIWd
jZu/LX6RQ3AT+aGksHLM01Zc156EXNcmmjtcZSNyxXZ5azSQFzb+bE17x5Zgq50+T++nKsqKOOtQ
0Ef23sKPXqZUzIKiK6gbcibeudjNX+TZ4n62KAIlG2p0eAX8fnD12H0cW6RBiI59IGrBR42WkQoK
7z1IvnW5610ZnVM84oO4gNRGlPzKmjRi/PdXtH4FvjKrAqAcoG5p3ztA8D6qEFmmXeGyIIrv+Cq5
Z2SZkJGScTHOyeuLPXU7yU7vpf034ZjVY57O8gJhe/PWUJGz//29+P+cWoSabJ92aAcgcT+CAfup
9oYwbZrv6Uw9jl5Um3xt+xXjpQ4rb8wY7JKEoG4hlEuP1HpbZD7OYsBht6QVUYTMqgEbum9hAOSy
UrpSQsWpMYbssvTz4dg5znzlj1l6SnHuczeIc9rTBi0KFOhTVCNHbJ5whgdrjuWJwbDsi1Ial/Ce
sLUh8jfwXc4WVConjrPCywWKtJzecYvMxEVNV4SI0qkhMlRd1dCBnQpaHvQIHj1sNnbEIsOdtOfm
lNWV02/6gO4yM5HqauyTJN84UY5lVAAAZaYBQBlWouuZxgOtwstJYLi2aXPhg6sN7dY60cud+oPp
p/Zn2bf5E5wb+ebmNpKNg8IM7E8z5Z9vB40jMCYgPeAI/yMNdmwaB+U8ld8ROTcRVZyi4oWm6EKR
nVcGUCr4tg5jAt3GeFmgmzegRxWWTb+fJP9pwoYagszRh1IdgL9foy+ABUM9rEH1PYEBNm7fXwi6
Hll1kVe+3Jsr7q5d34z7BUWGnYA//AWRJvRos2G17v9wM/9hwYYubDfASTbQpI+I3bUeJ9XCJ/6e
BqZ/1/nW8AnHO2MbUAc551wcr5A1kmfCbepTNTvWpWzQY8d1Xs43eZCFAJKRg7jIjdF5AznfeZsQ
7du7P9zlP0KGAGKeAzXPBjNNUvlhyFCZW+qoc8fvFIm69IHIwsM2x3aXzTiY6spGZIAS7LD64Tbs
vfYtW82g3KwJ9iAHB+GTRy+q0gszmMoHu3dHCoqcAvu+6CuGOy2C2O3ojvx40f/lWdwv4vv/+Z/n
b3XeYC5PkvIq/64VgMQI8eVveBZozLTNr0SL9z/5i2hhYo6K9JlDlkKw8E7+/KnBbiE8QOgGjA62
K4rrWp79L7ZtgKIAf0V7FgTlr94FMC1sjE74Oo0xw83jg7bA77QGCFJ/OeM8RAl1rQGtKEop3N7H
GLLuggGNahRkrRzTSqSJw4mWCV1Sz29NvKlVaOPV1gU0lA6lXVe1+VkSiVpkk6Ie7u3alSjc6kqW
vauYg2IqoCjhtRne5bRvofDFY9FQZ4zFNLvN3nUmlLWgsy3Hwpgmqonka3atTv0IGlOh/izHBlZ9
Uy0FMj4qJyWLQtEgaVDMZxwoyjwVuY9kuJsk9yCwUGAx/CdDk/UnbDjT2JyjbeQV4qLQ7aKabMba
eF5p32d+DmkJb8BJu6xPWqEEi4bdRLFhgky1Qo71K1Rr1lJ5z6aw2bPJf9RlbmYUvO1MRyck4GgO
Rci+Vwf8fqoDrb8q3HpRm5/8Ou2Cq4iKOaCkxYR4aBgt36nVEOS7MIKh2wWZVksQZIX74l1CIXiX
U0BJHWmFWqss2F7SfAEnQXvyXYSBzEVus2HgIEuFlmkA1bHSGEC7ofA6VBy0nkOytnQk+rTDO4wK
6Uxpofd4UPddCYLeCI5znlUdBttHjMsqsSpKBeoRdNYuJiCWYktkMu3Qo0ITLi8n7+QDf3iMCnSk
icui4QBavJP7bOjNaqOY6lsDvL552/nlzoZqVh8cWSWc+d4MWKKQ2KENRYEuvqpVQCvJ7dutObpk
wr6qj12L2yPMmzHc29M0YS1RtHGd2grkmi1NBjrFpjTW9cm3IMnN59WzIKt5rMa9JrFiQekuiMtg
GbOP+to7jO0s7qwGqQtayNUTKDjt3Uq9IhagmI6Vwktja/fBNWoQPVE5h1EP6Ae1WGDiTBprRneX
GLPbL0gx4+jdR9ez1wnYo732eXdTrBuTOdi0Tl3S4Hc8dKWzEdJpYWBcnxT2SdZBvQUSnXxlNfRU
FmhfvgDztKBND1KVeAd29n1S5eNp6utgb1ekVFiDJcNd6KpXEzDNVi3gv3H2XOoNKyA/EWs4SDWm
YMLi1A+ti9qnJFBmXvhFk7cPgOv8ZONxllpomdvpZoCH6GyHpLv3wJxcdVR0XipZJ9uxS5fHkYLQ
MVkhQKJsZEbFRhgruBhhDNfICTVXnVcUUKDbosg3YMYSBCNK3TFL2gc/7SRAiqg5NVGefsa4ASk3
DE+qT6WLsDRAGHFQsqbXGjIPg8SFJumW5i197TFeQA9Ee4RQie9CjACScySpC1A6Ulz3dRLtB9+s
vuNQvpzglbfxnHXFRs1LtGkS+VoAT9o6y4R+RZiDCquILVvXfqbJ8dmreg/n1pRUK1J20Jfbjvg4
1VoeXSZG/2bCfz3lsqXnj/hDvO/1/z0V/3gqemQuvzsVSwBlz8OvJ6n+m79EKKJ/IYTgU1CPXAD7
HHH/829rEvdfJBsIldqwYuCTRZQ9/joW/X8BlKDtg5AlWTdKn/8mIDoObj+IEKJfTf2c4+x/dS5C
evr1XKTMzz+UEwMLRyzulJv4OydL25wxrUesP6sQoy/PACTUSHVYk2w+w1PRO0KLpuvcTtPyzWsH
FKxKt+NIsazpE0avJsGcMJ6roDIvS+DPtLsTR8tQ5Skngt9s08ENrrJKDZ+WQuX3oC6qQ0kv/lRD
X/jaiiSEbRgUZ0AEd3IZuhfYIMURcmGPhHkB+oBWl1hfTVHibYZTHayaubTvQFGUZ1FTNeiEOagB
OcOGNmNz2Xo2uMsqqbdGUSMlpobp1OQ1kl614Ttb20iDs7obBV6y1XzdCpSERBVGF8uAtwA929m+
pQ8fXYGXNC+tJTcvKQugtKVap9uTn1QH4BHpkxXl0ZVllDfW7I+XiW3dr+ZCTwC3kU3TuZGBVIJw
3kiis82EXlscWoDx456Gyk0EiglmeQCIzPVmXOXYKQ9eZYpvE2f03umdctPlCKYhzVg+dG7hdxs0
1YqDwG/6GA0S5R53qrF0XixqpPb4uQ3z5FqO2XQr23x9BZaxPDX96NymJch/Zyn6K98p5lsQ9XlM
gyDfd4k3npuz373UzjhvwdAGe6EqdQgwGwDyO88bPDCro2owpO5Kd/xmRM4m7z0gvRGevk2KShlJ
7pgDOyvNFiV4L7msS6G91IxTVaIjl3Yt0gjAuw9dp7y3NCqwHixkfi59dzr4ZpSccBWsbyDBrZxu
RlGewZpKjB1agOO5AGv5mC559CXo/HpHLCTOEuFPdwLzp/socfPLlbLr5TSYwDbRE8g/J9IdLorR
rO7c1hWYCofg1SYAYUe00QIomYhs3q5LkF+mKZJKgI4q9DhFSF0vxx6TKAhp4Hxw1AXKr+ZN1DNX
qLL5SVysbvU6zrO4Sny/Oi7z6Jz7sMuQbfNz3IaD/KnD0RVUivBua2CCxxlblisAA865PXntscfR
5lriVXJfrE4Uz/VQnWpjPIkmmTBrbbzwyu6E/QU/X/+yQ1bulNPuOBZFhfFyjYU11abMu67EdG5n
WOyptuuPhil3VBXkM/w+c9ksc4n7oEiC586ZvnsdvnbpItSmBmt5asHB7qnTh9sFY4dHxy1fl8kR
aWykrv0lCJv7VjngUAex4IXcmLctLgEgUbPEOPMM2p8Eg7hfZ4qadDxhLfI8JH1xE6RlBzQQga/X
PEHtuFH8Ubrm1QNOA7jAOKDUEUCuz7GMqAlBHcLHsfK3QOrqu8AZ5Avptuo3srTuQS+dOMH8s3bq
DnSiwbP42rE+r4ryFvJV9clLqqO/TBK117U5uWXdbgdsZTYjm+UXvM3zU+DV2IfmTrcl4Z03STMX
n8QAwXqduxY3V8pqa6altbDvfQKaOD8EVF9vhV23MS+Uwgga3PaWlFqgjzjvUcruzrseTEEcRXtP
FvUhGSbzkjY6MsHVrcJV7AmXkxZEn4PhgZk6xwYA9xBXEzkuOuz9qyMX7gRo9GTOwaG1pnmnKms0
CL6c8Eli9C022EpXSP8GSwteZkmv16EtD9hGYdOzLF4Q92r2IzRZJqxN8U4fm5WyzNqOY7iNIvWQ
rgsaQlVJRboiNmaboyq6iURvnhP9ikvURc0d1kFPBT7uIUalREN5FaHj4IO+jqATxRW2GohsmKhW
D+aOuBKjj6JsXyo/A07ZZtGtV4f+aRi8ud6sYDZuc2mU2yBokLQXw7NfBPMBLePwxhz8GvJu7ZhX
qBybMf7RKyjAsPJ3oIOix4hT42p1s+wzQjL5Rb2qr/Dl/CMn4hrjKaquhtTF2po61sVQYCOO0ml0
UY9ufyOLpLsswCY+GkleXZEbCDQ5McSwojbdrnYmdnTvnc+0j+yjj5vJrk/CFhm2wv6+Bul4OVG0
f3adTh8u4+o+URLLH0CWqmqDqAgsoCJK8THNSvCrKUZyVpLdoLbKJk4yjGttN9+ZI0PfZN66XRYp
dsNsh+chQkUFHYA2u4bHPDHRCMgjAwQgbxY13yV1xkODpprGVYuHakwOObSYHRDY9aZEsm4nFIh5
HJTMtQA41bgbL0X7s2vVlaVS+wwz0/Lr1NnldoIUBRKd4zZniZ8PlEuOQC1A9ZZdH30pfT/f1s1k
PmHclRzZmeDJSXu72L53s46F8SpgV50JGRp7uAfDNfz56uS5RrJHSGe4rZYpfICNnOwtszPvMC81
uVyQGPGyGP7eIWG46pfupRnW5dVcR7Z/WhYrqP3ZTQ+zM1nblYrvxh6Mc68xbUrvTZ9jSAugDWyv
ZgGZOTtabt7q7IGzvyjS+9EjENkUY1ctceNE8rZLu+rY4ieEq5UISspCQ09pL0jC7i3qRXlSVYZj
9TwZF7ld7xbs/m6Uasqj9MYvXu+hYtQOHS1AdIFeSul/gSfzbCbjGyDgL2E7f2qsldxgRfq0cbr6
1DfBsgOLfW93qTgTWRDcK1HajyUFxVcUqObPAK6+hKrxDaZ6DtutPBNglcwRl5+hU/JARt2t/iWh
VpP6m9UGv7vLIZS4Ow0DuJhtL9iO0zyGN53sFhhafvI25osTkrNNvDhUTWxA9Wh1xUlrHkYMl1AF
zUSLo0xntF8EGyixl2ZgzEmJX/qS1mdIfPZb3YneEuSV51a6NGeoBQdfvMXrvlLST4ubhM7VeZB5
Vn+PXVKWHCpsaigQzMO0gglOpVd8w/xwMB48gJYeYlEKO53WyMsW5FnubBvDXA6A5pq98ofPiOBM
gNrSamuS+6PI436eDXs6+rkI0NqX4xWf1IK7AeEk/lp5716M+HIg32S0+HSnnDJGgCAZschDs2bV
LqPue8YJYtxleAddoHBkxXDylity2e6q522erZJsLcunZ7dEWLyPfAMIoDEerGZeNgC8CLec1R43
KF7353l+ok4IhA6D5jaRsBfgQqKQAewWWTfoPe5tvaKCi5NQelpdUOpjkiRnfW3nZ9JML3yrwtMl
sMQF8ktyu6RB93V08CUB770cEEvO99BxELFOTZLrvGp3U+IKaucZhBYJiDeGgxceR0ordL/t+uCZ
ifnmjjBSYgGPdcYwLnSsb3hU+uHnwRwpzr6OLtbj3kPSubqvBwc6R6H1v0lcI3O5/CGJQ7KD0vP/
P4mDQNF8f5X56/hLRfTHn/3M45CE0QVKaJz0AKhLWuRRP8ubgfOvgMVr/tsuktLj37RUQdPZVH3+
Stb+EpJxzX+RwvnoT3jkXmSG1v+mvul+kAHgIugdRDRqkcGDafoPTwHPximPjUYd2ya1IE7mrCtQ
rWDc5NPily8h7Wa0M1dMjOEuxogXDZt5Xsqz0CpFbMrwPlRheQaBpLycx+pChTjUBYZPWNojAWwa
bL4FxZlldCmHEH9Q4azNLbulA422i/YiMki8/BGdg8i+FbDhttQTQdG7YbmzumDepBbXZNGouAA6
EJucL1u41U+qijgA8nbTiRYtDK948Q1hbiu0zjelxX5IubM/CdU/4Y0mECdQuLPD+93VSfAIROhT
4VgvqufyYGOfqjZ/Ywkhc9YGWCn69i1G1kifNzyPL2a5M/vuyYfxCz8KkbnJ4PGalNb8XDfmVhnB
qe/DU9oAEE0GhkZFyS6VNTChonyDYj9vfJ+hBEY8bM2OL60UQ4AO9AOPwDCY4anOsWFPej6lTO4B
KA2xXgJWYgQ4fiwQSd+3FRuo3/n8tnRvp3CUO/2XaCiHmzwakTKzdSC9MASicuTOk9Z6m7bVbbRU
alcNXLICeHjuuR23PznYbHfckCP8cktz5KEcImJOaJRbduO3pelaupC9HXvJQghRLlTQaK68JpVh
MQ7RPWgxuXOaCpYTvFpqt/DcXBmGWp2dtBWXjvskTErUEMmGhFGte4EI+nEKGT1n4KKTF5xCy7h/
nyR5h7PA4nbDFkayubUW57ZWIQQJM7qfyIRj7OdUXJvercq5qbQo3ROZAo7CgNO3bVrPZ0EkbQp2
ehZJPkub4CofLKpe7WDvAkXX3E/8mWFiYlFRh9jteVfM5zeA3UQfdBY21ZS/oCjAu1/5qcBhkLgJ
zfxJhjDFwfTHdc0oDRZJkR2I9RJjjigGt/z0/r7rNKSXSlgcy4nnhW8WaRQ3r74jsBjRID4zrfSN
Rc6sZi8HKcTsDAOmSqvXAnXE5aHK+BHY/otjcSOsPIIpAU10ZLgoRN8vK29+wlxuEwRTcoYJ+3qZ
kZJAaB+eAjSEIJ7yhsORyRSyGt8HoxEsisngo6KsX2q0LHeJGXRnkN49bCeZtFU5JGcLyeSneigE
eshTsZkQAo0deCN7mHb2rofhsa17lyE1FfeQZsN5OBjzgRIL3LAuyeNOrvauDFiUpIoX+VQ0nLUt
swxFNcBSTXkZ2ixUx2QjCBUnOTFJtUOq/A1lxvxWZR4esXqCwNE7mtZo72aXJsJI2X7TjlQDaH0P
Wxe4/Fmamc1hJobRjByWYUk//P3d0g7X4PTmwleJ3kKYAo3ootiZGJv3Wb4G5bqHoBEdSBtKPOWq
aE91v9rChhPx+wTQM5wlfpu7a3NwFraxSLG+3TVaj++vWY7IosueaURtSe5UYSXPCE4YRy/jUcGC
EyaOlnFMIofdy8tfCNx4BVb5Rv4Log5FuB1GHnlcOzKK7cZKzsx+bC6C3JyvvNk7hFPxAkdwAcsz
NRdJaZc7AiRamqtpHFOPddpS+b9YgizaBz6TrKmd5sIYIq4OM5S9t6YQyeaA9+cmn90DYOSBiGrm
y6xJxe7g+HEgTWcLUWXYdPbQnyYf1GTQ4LE0Y9eJMKjn7AzUxPCXxbU0mXh17yyqZLRvM4Ah0A2a
5SAkmwmkExUjLIqgiuIWIPizimCpHfHE5l9BhVOg3pvsaLZ374tW5b6ilmDc893ZjdczJXrPvbVx
Dj0gZxVuPPJzjp2JydTNgkJ4zvtrUbMG/dJczL47X41B+UaaxdAsrID3scamudyWNV85WrxXt6EL
485y2BpI4WwQyoBdVBnJjU04vwXAjctA0r11Af+7Hgt46rQv0pz9xDWqfG/1/SugQA9sBr2Qtgse
69Ztd6WR3RjTeBVo7Nz/Ze/MluLG0i76Kv0CcmgebiXlSJIJCcbAjQLboHnW0fT0/xK2uzGutrv+
67qp6oguyAHp6Jz97b22BuF0P8UjTEMpazMFwuQkr/BAQ0UsRgm435zNj6mR5b1rUiBtrhxbaSWX
GGryWU3K0edg50AoldVbI0wzH1RLlVxOYSv2ZIv4E2pyEAZuENJ/t0pkBgBRGXdXdAmAgYJgkCHF
EcZhuDalnbxiONC0K47LleKZdS3tq0A8SV1ZfoW1+0Wnz1G4oTamL3atSYDeCJPMLX7Lcdh2RVOu
nTwlvAqZo9a8Kmm45xO9l/yQR5GvKnZwSfRsltZUDw3tMVUxBzD40Nt8S6iwk+7JdPdeBDo3OwSR
oxE8oenB9OopreOj0cPMWIUQFqVzIdg+EKy9fbMVu/rmQnprWv7ZRPC6r1n84dSqYGVAxln06zfM
sMyR1FkvG7G14olTyBy9gIKwWYLsW2LccAComff0+I+ZgZ8tFt9fV0ep4TgNuEN+Z650Jl0l4leJ
rTK8Lnbcg1qcfi0GHAcg3V5+/yl/tnJ+fzXsEswCKAzE4Pbzp6SxRKINthDbbOICWXYCTooQGiK8
+f8cAv6XQ4AKlJpv9b+fAk5RXL4d43z/gR9zHPnD0pq0bKyx3XKMZMTzff9vL+6GZXxicZViG11G
PD/2/wrwSSw6Dk93YDX82H/mOPYHQEYy6Qd60fhx+N9/w9/wDh6EAx7D6lLRTsqFswlpip8voGCQ
IOMWhrGD7FAFMFvm9BwtLaXw+HjqT0b7yeExvK6WwTIKZEDnZlc9OIjnH43Crh6AYrSfZK1oP4Uj
Foc33+T/cBPz7lTUuwUDx/HJXA5Pb29i0EmgCFDQdgkhyCcj0serWo6KQ2EsrO06zqaNU3EuaKEk
6t9Ovf819YBJi9/+H3sjN9cC+8N/whjOWk5i73xIgPqzyiRpuWPZvYcHoXmIQrFzmTpY9nyzMqwD
9BEkUG0yrYtRd+KPStLEj+NczF8tgbrjV/MEFzCje4IcZbbpgKakyEWleY2bqpq8UViwnYe8OyiV
BvFWrnR3bkTgJmNOUFvv2/wUqROuXkshbS/bdQ1uF/CmL8ScT+zvIqmGoMOOtk9M9YGtZ+oCqYBN
09rlhdXqM0nrTJxpuS3W5aQXtKd3mk03fe3Azqb+KPG0WJc/SU0jrezUuhXj3GSePkOcYKxVFcdG
H8OVFElD77Jw9lvyv4GXMhfnMNWJiYKpoa9Rl80Ir0AR4dQamSIlS48L+xDlYAxJ4JvN1H0il8Zm
NpaRuF0ZtjhGacM2t9BQpvUQkVqHTkx4gyE4WxQQFmfwJ8m1TJhO8RPwyw9ZKZvUQsEb9FGesKYI
3LDrXhvtCbCcZZ6pygo5vxDsy1wefd2tIkryjZ01iB3H6iz0C7XozmMs7MhTtKGlxMpU5DVBPNZP
Zumphm3BrBSJQrZZuyjGRh6QveNlQB45wk2aWefPmkj61uhVVWIrYTbuYBj3VjLZq4hi6au0YADQ
hrXaMMAn8aA3HTvgUB7JDydJs266wbiCiSBtZuStrzUh5zXFPmuMMb3PnersELby86xOHFg7Nrz7
ObET3zY66ymyumo75/K8crKqo8W0Ked1p3YhSdGEs7xX92xzvJ6aqo3dJQqpdXvcs9MI7rREFVt7
iAaQ7pYRPesMGk5YxkfDjQsrf2aqnJacediX1gZwVBftuGaM0EMaYcfSkH/h3ruJQinRjiKNSeZw
OKLz4kZp8hhQfA1jAhFSC2rQDmNQAACvOh59CXthm11yslHlcviapn2uEHiOclyqtEX18mVbO038
1McZoyun6HX11LZNsJ/FvJRhakl/b45xyLCVYO8Tpt9OsMsTY8NdUUvdlyIQSeY3JOsjhjFk01cd
ABtpVQb2dNlP7E45nVqdshK9NMc3pAenCWBBvRTxYfUgRFg0eUgxF+HCR90ZmsxNaUYpXAdDOoyI
IQWrX4cRj4KuODQgrCoOP1r5hNVV2ynNlHGpj3K5myg/PqOzLIthxOcH91KckllYR1VQX+dJqsOr
cVLkkBUFxg3asDKsaqMNWjfq9fZTF5uJ7jZxz7sfQ/pF6nKctxRJVQ803ZcPQ686+L0MDrh+NHAj
r5ABQWgIeRSf5aQR8iUdUoZ8dIKBsrYKaMRT02aO4b+evV+XcodPHnmEz9UVGErW0RS4yXGM1fku
azUpLr10AAXZbsaALqzZ50mgTE+GEI1c7W10ff6Fn8TRuY4mjPEcbJV56O+LcMxijrSSUTyJqcu5
dBrqDXFEm8eaw3KPqtqX0hqMERUEtF7jHbLV7DQVUY84UsYIHS3g9GsRh+pJpyC+gT5sZ6fGyGos
cSHWKd+e+h7/ltWp4DNAjh5yqWFCO/AOuHbzSt8VuCD6o143I2KIZgTCL9rGepSYSE8uX07qeCgg
heLjw5kYQkSTDU6otoaHUpHKY2TC+vaBO5UAw2SdwSInlRS+7OdW6T5q42Duegf+xgZs5HAtMDpl
vpTSvLWxkbOYz9s0Krhq6QSebiRMQ4ScXkZaH9R8M1NxiLKhuVVTMULWJ+rzxWA0gN6jKdG6HNJV
opbS7GWKMR70jD6eIOqjA2CIpnUZMmc76BmVAQ6zUS40NLcdBvzZwt8USLcpzxm4TppDiNmh7ttV
6txadLG2tZmiUBLImMjipIbsM7H69WbS+Kzj9OCEhr5mOIA7KtfaT/9sHP+XjSPW1N9agPzn7Gl4
ap7f7h2//cwP6ZjWLN3RNUqziBdQxII+/EM6NlCVLUTgb/tGlWPBDweQ84HdJLIyzEu0ZW3ZMn1H
kGuU15ADxiBkGtAwVVpy/s7O0Xm/PVpAitxLpGuoy8Gg9O7skSaIacrs1NvJnKJ7PJhFxaZIwwQ6
Arf3RqvJu3VVT1dZCbfHyyLUONlyIGzJBBX6uFjuz1m5D2KRE4crUtMjqTE8j50pLbJQwgAYR0sW
dlcFSXIXA+wjqwZnOFx66yLEcjlpcrii08BkJ6Rb8TZAzLtJOpQSSnvnY5YYzH9sgeBowcTTF8pr
s+d5T1dhiSokWRn0kqhhB+WYzcUI1QfEkYa3YzSSDYsgDXoQNKqdNcfBDlZcdy6ckJ70Nn5MrFq6
j7Mc4aIuTFevx2LDuCpcVYuyXdltdZpHTpf52F73POXpBOdDAmZyQQtdc0hM146T0oVnaJKbIBtv
wOi8VNhRBld2OqguRE1XRsW2W607qF8zrx716rWpjbIbW91lR4DDFSrqlGLfBr24VIAXudFY3Az1
rBxG1AMm+2z4VJutm2rD/5zyg25X9+TCYVQp3UjlQ/iIMrtbBsbu4nJJp/SxNhANrbK8AXw4PwD4
lv2KWKRPXFSshYwaCN3A4xK8HbVgFVg4SdPAXN4CIEWDX+3Uo7YBZiOftFSS1lg76TponeyuZApw
p4waYtoiGdNZpq1NZtA4aEh8RnL+0s7VFS26MwhFad+BLHgqdQaQFXsjImQBjZ5ala0G9MOrbIDg
Zs82hsmuPk1wNe711L4127jclCOVO0o7MZQLUms1EzSguNG0V5iRP2ZzxaYZo/XHUA/CvQ6Y3ULb
Wtp1nEB8kWTyGJ7FA/66ownmmMd1pDA+j0ZU7aieV3Rk32iSMq6IZDeRr5bauc06PJp2QGmPFoEO
4c7hWdPHtEJKPTTNsXY2Ta0xfw4rRUFZmkrSwQa7Irs3y6OqjOKCWHcHb6uRjI8WFIoLPTdldiNd
77d0Anl5nKgxHta0LNcK56IG39okX4CLM7pdiYECE3fSTS9sXGZpYzdlGbxMjjVcZmpDgiyEWYF0
GBPkQSnCZZEoN/8s9P/LQg9997cCwY/UxL/Kl395nLXyz/HT20X/28//WPTND+g4ZGf0xZ7MkZyl
/ceib32gVtHm8A9t4We9gKWd/ZbDMgwWgZXOREr4z6pPFgLS99Kpbakq/9ffWfWXE/fbMzFKBvXI
cDkpeWSguXzytydy9tIpSbZR3oKzxI/+Qg/UaZyCXWLbfjEQHI/lPZUqK26keyVlZdPab0LUfz2X
LzPYX97CIgYwtwSvtQQ8fnoLJS1rlW2H8rZsJvkY6PeTUx0o5FsVOSU5Kgnbrha+U4UFOOvgsqrC
ZEN2sVgN6oPOUGqOmARI4aU8S25c2uvOgWtoUem+OMV1o3fRYX2pD8EvVl90TEvAAF1REKdNHxOG
SMv/nHSdbqjpYzuDBMrZt0qryXC2eskRhKileWA2UnA0ljm+uVLTapovp9i8teJusgGGck1sR/w4
uYbhRNUuQjGQB0hmwuCk5+2MYZ4tXXJDo/pSv7Vq0wO2hWtWHrEai9BVJbwupvOgaNKqDa0nXF2M
NRPFdUzN000L9JLjylG0EmXm92PuoTucR4lASD00q7TNV31XPfK8kjdxJq7C1rpgtvp5ptesS1Kv
NodsA5vIdoeONiOtKL7koy5vUvjD7iQPXwo99ENTtIeiHQymvJVXmS0vNlM+rJ3CPAm9fxaX/2Vx
UVRyTm9EM/+pe/rX8+tPHp9yglmb57IJf15Qvv/MfxTIZY8Gu0NWiR++ylg/FEjjA25Z6J+EtamZ
WLTEf+8jWXd+rCAy1TVEfMFH2BbPJPXvLCCsPe9v32Unyy+TTeJUKm3nP9++jloWdlDa2ZaWiYch
jUa3a9NyhYx/T1DppsHhU8iivrdz5Z5Ig7IW1rRmrLHvJstezVKt7jSc0TtOtbNLV4uxc0SabVgL
iOhINa6/3mlepqBHKYos5mN2Kx+kMKse2c/KZ4m4/AbAhPA10JJeZcfxGkYdjuTQOrMrta+GOWar
0+UXIG0GfhsoPA2Q2KqVVOxwg97s5a5BZ8lPVDUQ1+n0zk2ycUcH9nzNSczwS2uwPGUaxC1l1rS7
TmOwi0DWcOhVrgcOpZu2Cz+ZOkdkwj3Zxsqz6LKj3fsi0XhPMlVbV3gempWBX/aKCBwUiOxOjAQg
NcJDU02MOLf6J3qjlqNjP/gNPqLPMZtTmtn1me3sDE+TDrONgel0BXjN2gzF1HqDno0r9nlfoU1q
a12ogR+npr5M/J/UfsK42PX7xEnzNbuewU9m2g3nDlAybAfwpFZxzut23b2maKVTsFTPCaket5Xm
DO5olcrZqdTsvuuN6hO7yHXOGZmNZn5OifKReLUbJDQbX54XiOyyqbRwWKn0DXp1Uaf3Yi7j61SL
GOq38HA0DeyWW4V9c8OIKrhhBmJc6OnEgVfKjWaLw7pmuFTFRyTO4Z4wevvVoWrybsw1KHCEDCgi
Ly37EPUOzXsDZoFaACu3BsAyRaZx3s3U3tgio1QPVpyQD0usPrsr0gKDRBY5G9LmylEvyJe60FJL
VFO5ag5Wrdo+QXeFL89RSc9FAhBNq1YFJ4OAOrG5pKOslmb2w7VdMFOMs5SomVLS78gTobyYODuu
1cFKHi21p197DCjgIIAQ3CVqVt7YVLSvxjwubzDVK0fNHCnmHRLngL0+eaxAXeEEUyzayeJ0VtZ5
gqGeEe54NRlUqosu5dEnQLqs2niBwQ3QBrVuIIZugEb2m5oecna32d0UQx5pBBqWpGki8ULin9tw
QZM3SDKgQEHTETJaAn2QVm/70ij2zFBjHqfYDH1IgtOVGnJpGgJ7yNZoez58PYXTmVQH7zGHjHpG
+C4vqOcxU3Ry/g4kJ/iFHD6imkAkDW1TT7fo2OXVQ8T9t4khEOEvxgnnB2NMW7sVUTdXKUV8nLDN
fI3rud8oQquejZEu+EBATnh9Z0mQVPa6hykPsQ5owXU4R0Q/sAGi0AeRfa2PXIP60saW5ZG+R+AT
t22iD15pTiaHz+WDd1o+nSdhdB+tMec/zJbgmtGziFBgUk4rGQ74Jhn05PH1SuOAyavNodPDqZ9U
kFBLMx2u3vI0VAuCIwoTqkLnOrtDV1Q/DQX6Gs11unWN11TflWkwnpURG3jTcHBSQ2FBN+75owoq
7/ZYNfirqYzc1xlDgq+dFcV4w0vzRHHtdFEHinoO5MQ+DzUgsogrEsOrYwSPjsqhFt9sFHPmpHNU
6m1e0Zrg6GRhJN0Akiaqg8h1g2HW2ZQcX1avf618oJcuDidK6ts0KICKd73tlWzv8BjoxkGpWz3A
mMJp3jdDfr1YQHoWNVQMsvlHbBO8I2/pqXUZe20yH9siOvaoAMBFb/uaDGlvlI8FgnBIIN5z7Eu1
Eyd5CK8iOOgQcqMtgNcXY3AuHK2EnCChGKjWeWy1tdZHm86c78KmNX1DHu2DafILq8BgSyO5ajUB
Q1CL8tzxHBPwY0ucnrFinvUq+Yi0qBxNNHtIonbomwQHPcWi9D7OpyO8D38YoS4H5V4rrOBK6aTx
pIxqsrbLcEJgtM2I9tcUN43T66sJAw1kVLIUfc9BtrPTOvKlRvmKCIr4rj7XBVC6mnq/C+RfWJZq
DgFBNb40SrctbOOaNDRto73QThiHgwcpVO/BRH+hDgeTfNHma3AQHQmMol9JuQY6ooVe4qqN2rPT
Mssboek6ZL9k/pr3hqfOEWgSvKnrqhtvikRUe8dKNxqFAWBoZ/7ATDnWY70MloYpPaSm8hHxU8WX
VO/Sccp3sq1q24FF2JdtUbHHTOkEcTAphzPm4rJ8qMmmuiN4scOUyta+4cLfJJMpcyINHmQlrz0c
N65QJrJL1bmKbes5VpFk9KGWHy1TIhyUpred0iZPGMIB/yY9oyCttj18rK0btE6310nngEKdZ9YD
rc+2IZkXssnIsN6M6cAJbuq8/RpNXUC81Z6O9McO1UoL+5iKx04lygIzVKzmXi0OpWIeM9b8ay4r
oiRmoFwBcNE5BFDx5OUMlrb0hVe+3hLSahW1em7BraywOO2mnEo8raqeBMqVX9sgoxOlv5chZ3py
ydPeUWtjg6PjCxH1hzrSNvJUBx8HpZpcGuZ619CGlACmIV02OtbcqQBUz22IIlCE9yBXWwopNb+D
fHDAwReu2CTYXwn79WfaSJSPKUd69hBIfB5s5Gk/UA1EhkANbNDaffIxsYiu6K2eP7eIL88dzgpa
X3NrsSMGftlLjJNISq3Tlp8Nc22FIUM+WkFSXpMZHLFw1OysNMlwh6qxj1VfDY8FwOfHQVW0o0na
yDPYYbkNeXA/4y5iJe9iYXkMimsvSHPbccGAhId+JH6zb9VAGV1wFXg+nVqs7bDOZW6J8I6xpHQy
lcb2Uk0da/6IpDqCJpRWPRS2g2U0OldMgXuFKh5Mz/o88BgcRXksmZzvabNBXqqNHENlHdw5ddyd
B0YqyQouNrySzimkYxfaxo6dQrpR5LJexSMZa5ShUl9FzfhS4Fg7KXDyPg5NPGzx59efAE1D4mYt
9MN5qQ+2BlxBOmWEsjVDa2YXlve9tJdLFrBKUettGcCfqBjieUkwBesSvY23ldWbSc8+Wy2nJAY6
wyk1JfmyCYoGT0zZbGoVwVMMaeCxZ7gcSwC4krQJ1ZDIjD0/JE1TVn4CYRVHXN0gx6WKGwM0W+e6
3Hllk+obeP+XtJ9iXyklHgMCtczI2v5qTtnjpT19BqXZ26dpqLObOmmHZZIqPeAkO+KTbZ8Hi2xE
bU7d2oFvvBZZUMF7IYPZNHHsi2bmFgfY5UKHO/MELU9wYAUYdma6LWHrO60aN+Mwhn6rzTeTqVnL
kAjbp20nm6lQNoTdiCspzYqxTvgM74iEO4+8HkzsqqcicjUCRt/HvdKCOGiDHXbFQxzWZz0wDJ9E
RrIDPz5eBIkNhtpP4EArwMjns5OyuioXlsAY16+SJYBebdIcYuw1EOAaKU4stbt84KWE13lt5A0Z
DxMo/FbVa9EXMe5G9r/zwWCrknrJa7fv1FLzO742/hrf6n95bgNky4nwqC5BTvC3EVmmXnfN1/Zg
noafRvqEiYL36/y1YlgXw02w1A4rSwExPd0lWrahX3a0E9ezFq/myjzHDiRmpuMotkuZMfO35ASM
1/jcLlXHyVJ6rDBOuhyWIuSYRuQmnNTVYKj9pd1Tl4z4r+8JqQysfrQpO0ut8mCZ9Tlkq7KCQaf5
E+3LsG8WWLRInoalmjl+bWkGYrjPJYqbwwTocFq3hQclYvSCpeC5Wqqex46UlGxj3pWIuhHLvZiZ
a7kUnH+1VKRivc7JfSrAskr9S4Q51KebxtlP4UzHdPLaNx1OTfdZ1ofuK+V0yWFYiqlVuwWStZRV
Y/u9kXvhyDiz+5ku675Ld/Nrw/U869NBjxuic0sBdgYs4bKN8i8cQAHslioJWzQHDMokz0o/pke7
Xgq1O6nOv1r90rI9gOBdgxTr1w0w7Ae2L+YKBNl47gJiYOyBzlpMaTemlbB1FQTcPVMWYn1Lvfe4
FH2buDguCNkWh/m1B7yeuuyUFrVleKAfo89F3dIZHiz14bkS8SiQX1vFORqW7AMyx/6K+MTC0YeG
co6XMnIM4dXDvBSUz69d5f1rb7kJ+I5Odnkobgs2/StDmW0CcV25blkYV7Yy7+IJA28FJ4sH9Jwe
Y2SgB4V6Pd+sLUYfRhHhfYY4wGiTFz8Bwh9PSWnjKShip7tlxtOEwYpBQDFrCMo8B2c8JfEwQ1gk
Iwklom77l6jN862ldfG2qYdqO0rFczoSEGynwOL42B7SRuScsxr7bOZyfxVGXXUm0Db7KZME/Ou6
RKqsRDyniMRPHDvY88Y+cvALfMuJyjWJaXuX0UD9Dz7gu3bzh+SJKtNb+zvV5/KpbZ++RKJ97rr2
rZj8/Se/az8mJcaESJCNQX9aEECRkn6oydqCCiBEokKqWbA7DCt/uM/UD7Ztad8SITCdlwbQ71qQ
rnyAu7bAsf7tWfsbavIi9bwVk2kxthZODzxKXgxc9TspCN+UlFZSRZdK9kIbuLOR7BJHjo3n5s23
c/WrG/SvXmlR0jQZpYtdzLtXygq90OdR4ZUYRbq5XD1WRTmylkTim1D5X+Xpv3olXgPnNqA6nR7o
nz9T2EnBTM6w2nYDgm8g5FPb54wV6z+hcv/ihSjDVYEg8XIyr/XzC/Wk3Ry8FdV2atOXNEtfUAVe
Ev79t785XsawdeWV/fv+b9SR4m0jY6woS+JkC/MLpSMi00b37//jq+NahdgGt82CA8EQ4+1sYSHa
Af3lE/VB3hxGmV1uUKr2oaH96vcfavlN7y4821Thn/F3gtv33vVo9bktYd8AsrZIQRi1zxBkloae
O+K0f6KIv59XcJUzyzExIoOicJAFfv5YkmKU3JslzibaN32rRY1JqKZYkpJPsh3mXqyTdVAmOk5+
/yn/6grBtmjgF0W+BQvy8wubTSlUJgYVdUlISYL540Lkh6+b8L9+/1LLxfbLF8p4iVWBQBt39c8v
RT5YTHGZV1uJONE2FxVNeaoc3Pz+Vf7yA715FZastxcI2Xkc6HR8bQGHGhdqM971+VDsi+b/99W9
eaV3X92Q5lHZM6LeRpmYfA47TzNbcO/Pt5eyfDM/fXOEA3H6Uu2ILcNBBf35M/HED3i+tgSQzSR0
ISaUbsfZyhs0/b6OLWkraaAY7IQ+IqMhHhA23R9IrYb86/e6zBsxk6Digmt9z0gtsU1QOwT5qOox
92Ooxas+oSRczXo+McqTObw7jbKuGREAkYVlnWSas9JqJKq+Zh7nDaXFjoYSQq8pi+ELMlXuWUmg
7RYrMwp++jIxmdiFs9JfVhauy6aakfZUp6zdsuI/wQ6Xr2SA8Z7gobW1xjq/nhpH/ZRaarmDbRY8
wsma/AGa65b9Ny7XqXA2Q8ItlVqjCXZyErBA02KkYgMQxq7rIvoicS+sOtUqbjoJXqjszMOXOuBB
o3Qm791UeJVELy8GGwalx7iA9ihOdfLnJF20w5b3g2dPf8ppv1q2sQTw6Kw7UT0Ez3vB4kCqWBRf
RWQkwmqOXoRWiOnVcjCugOzaiEKVRGKNTzfT6uLmidWRtwHpguSeIg8igJomTyHOXpTzENvGvMl0
EFcCWihu0/JCQTL27byON7aT04qWyeqnMOqNizFUksfQLrM7GL/Q1FqtegB5osIz4Re5FoLEQ5Xr
YATMoEdHpGTIWVT1ieVmNHUEWklvsrt2sOlrk7A/SNTTPgZ8NRdRUlcnUyQvJNWge2Et/pTb8QvR
7+AGBa7cDcvqDHMNLTtTEcabTEZOB4+cRVcgV8ZzMsY6eG0+bdDn8aYPif6wE4GIkKHA7ONQI+xP
qVx8DLXKOSVmWLyYkqMclTLhSxQZKGBVGgjgvd55GRmt/UwK5hCZfGUE6PmYAo8QLt+JaWcV3toz
9bpuCIAHLATnmbxGVg2MKMn9rOvL2Svnxsw2MWVN1aUi+srxQW7291FQSc4KlAOaZ1Gm6LmmXDQH
iS35Jxs3xS1iWP6iWlG55zPS/dKxeMtYsbc6ALO7kpv7VsP5mnhGIxts2Jkhpy7iL6hfgY370Iw4
gnC68yfoYBAZ7qhWyJZSCJkIDJtDiR/st0pnIO31Ok/ZeSJU1XHfgwjLhiqiSgyb/kbYRfKEiiyt
nYL7yGTcQiGeA2QP4X08AwPo7+dmTjdGJTrALxRjkzivNGNeYSBOa4ynIe4sE9zL59mp2q/qzL0F
wWFSfCST9mOPufghTHTjgso2lvGx5M02QtL2psy0e+lGkTwl5S9hRGAlagI8+9fRRbO0NaZN8qJy
lCdYZmp73ogCYRppXwLONPhRbkbHMHWWQdvS4iLxFxLoZPxjYf7Z+LoMAHI3Sc+o2o+qMXouKpjV
2MJ6FzYqR3ldEfdVSwW5lpd54zqCC2Ee7GI/AFRug0XskDrZa5VsA4LnuRONBRYQPbRWt13Zf8bq
Ge9z6npXAiDQBU9j6/p1dKMUvC1ZyfrLnsTfKky5z3XQbSjKVvrJVqr5QnY4DYJxpVR0rDoPOmJL
k3gMBg6qHxc1q+J4RXBi8guROCeNfe26lrjrU5GBE+irgLgreN25YXXLB0BZiNC5V+l8bjVPnmgY
s0+E/YwnoPr2tdZ3yrEMB+WWZK+2HwVXVMqCysg+gDGQgYzq6coFWsKR1aX00Dl1hRi+tFKTNW4I
WcuLMENdKyZzAF3OngyDhbJpWD/MCGg4BYWLmtxMfmAtdGhDE5T4lmlzUAaxJICXzZ5wQDBlZC39
ZAJUmONh9k0KCiAWl82W6FTnqdC8vkRGAY8IJiaWPJkrmBgIdIOTVnHUjQbN5o+QV6cWpCFWCrW8
QM7hYhrqSCAsKiAWqBjD6esMCDFCWb2uukMUP3SprTzLA6tVv1wjhjwrxxQp4pgYY7jupwiX2sBm
BmNtZxyT0Fi3ejJ7fbnklbWZFbErUePpZ/kISMQ5zRb+rFG2Go8H7uAJ/sI45OTmdZJYwO0IA882
i2IfzCK/bgVrjxSyegwONz2mdb5zEDRrDagkdiombVqgyp8dRXQXvWSwJS7FyQa5tAXWx5AICMkm
d0LpEqbqSYs1eD9J0p4muoUvg2T+FMva8ImuJSi2Uxlv9JkKptmJ51UR1fmpopn2KkuBWDW5Dzud
bHoQenoXf+R+vmt6OdyiCZAPD5HeGf5VJ51xdMZjEZqKqX+WDJwnqsVDj5ZVfSfFUXZXF6y8MHuc
Ozm3ldtYVirSsvxJq2+LrKm3hHz5G6w5/hF4oJnJ47mNgDRlo6AUwtCbTRE5rqpEFWAN2uigJsN8
RnvgnFlziSRO7imhnO4KdH+HAIDFBCoFX+bjOgeESkFrnLsaGWfZNYKhRnfI1Y9trub7odbyPc5u
zCSlLeq9lrXCF0o+qZkPTR1858U0qGM+8/DJGta/nOTzuVaZ0mOuoUFlo8c96DYGpRqGcoj7vb3X
e1FSCGYKjUJMjgONgLGCnvPSTkmEdRDE1HNlmKGrxKG1G22LtCQdfSQntZqavxrjAXlKJtYTce6m
w4pqWgioiS4c4UH/TlYdzeE67Bqh9DlrT/tIcWqKgDtmN0OijZlbKSaZUPb3eozPaOqpTk5SP67k
z7otthUcG1eaaDJjXhDRWsv9xcLRX2P+kS4pdZUSv7NyzKp4Rjfcpyox8aTFCpDZ3Ra9rFuNdfAE
8TJdWQMTDFUuMT1YtXKPy5NsLM9oxR1DApzQJRnoOpk2H7ldwy9hZikCUgKjs8yC7ZCAgt7FoyHb
ayvMWd90k+VbD9mdcGDTYS7rTkaSgA+8TcUAGs9m4Lz5/R5f+2UzumyIobsbpkVy85dTYDVS/Wrr
glK+PNf3ggTUCwg9vsGhA9mWu3g2sTAgVpJ/TZTu2GPBdxUS7ydmxCpT3PyJB1cBFxAo26Ry1Gnj
Cp5nxlT3QseQcSjA8DICg8TSUdNN/5cIjG0YcA9qIyellW7lwY2my/oTLQxz7zr8Y2NLinVNOyXL
bUDl+Z0cx8nj6xpYFAQz6QEjA/uHU9Vrvu3d4UBGipGpbiGepujvDjztPIe6aOVsW7OZ8E3E2csu
FIzH7YY90+s0eNIkNHd1Zo+15NKIWzCFZoodxq7i/Onc/HMbEiINc34MiKQSEYzQHt5pDhbTC9YD
3k+TK3c4gS+adJkzW/FTQcYsmHjk//5q+OWgzsVA0otXUjibOO9R4K3eG3k4VPAEazak5HwCQFBs
TYoiKi9oNPtTWc4veciF1UJSE0AmpkmQ7e8OsiS3ilQ304zFtcaywYqJCt0WPaMaLqxOKh1GzVxr
ePOHq9dHMCloxdxEKk6liJJG5mOZ8fQ6Xx9b9ji//z5+OWc7ONHJa/IuCUSqizL39gTcTeZgVrES
bxnSxBtDCmnt1Yc/3YO/KBa8CkIFpU/WUhDzXogRseipUC/jramzczVDVo2iAlRdq5QfuibttO6U
sHOPoErd//4Dqr+eh9kf4DezIb8rQBbeqSWTkkJ+zIZoqzPjCbaZXjoHKVhKNwT7UjrUjOnkSIZz
B9/4DqhT/SJVxgABtDdCDxIglgQWO8pQ6kzYGgQWuBW6njZbNr/OISmL9iu2iaDbSUHLqfH13f+D
u/2DXq1ohGTf/KF/cSluibrE8Vuh+vuPfBeqEYA/EJcHhYRchRy8oN6/C9WKKX9QdZPqBLImr5GW
fwvVqooardAHYsi0vJjAkP4tVCs4olk1ieGjjf5tTJLx8x1BewwSKCg+stisx7+qumSUszmhcfgG
zmXFjHTOeQJDHCkZ3GYc8So9bK5hJzX/x955NUeOnFn0F2ECCY/X8lVkGRbZNPOCoOmG9z5//Z4s
aULTvauZ1bsi5EIx3WShgMRn7j33k44BknqUaleW4XitLI2YqCz27GXWTqB5dELIVpoDgNXXgA5O
A84+XefvYX0CXEcbyviS0DGSr1bZ5r6MpnTTM7RZV6CH7g2NxCZ2iuMqJst1W2IjucrElDsfJN8i
Elr/vZAadVZkjdZZY3l8nooMpGPUduM7o4v53TVpg9AAcNmWUTjQMnOIyw1jhfpgz1r1Afs7eSc4
cL5oKZ2h4SXzG06+ZomkOnURccnu+9CEgu4oU/44XTyEkfOAYiaOFySEGt+USjFd/el++T8m+LcR
/b/ehbevwHEYDeu8g/Crer+8C3NS8xL1zD7SQvl7CiF7XRlT4yz8cmJeZeKSQUJt5P4FJrhxD3+W
j1Y5XglSgyj7rYxov1zXLve+7IejZDKAK9MqvwhD0V6K2m6vkYpfseMkOSIAE0AAlfIMCZi3DSOG
On1rlmfPa7510M13djXeg7QznozI2IJf+UpqqLh//aH9n1+4fGhLMSSUMpflhcUL+OfzviIjL8Qu
RZxPmQdvQn37ITD6V6z800XDB02Ovdns82SEShOhdljkRFtvWraf0Lgm/aNKBZfBt8fprBwgh7E0
7cdg5n/V5Gp8xx8q7kIwfOeod6D3wKm82F7wjHjQ2Pox0j5iXoclL0R9F6Pv30Zao20BTzqruWy6
tdRz7mmz04c7XZpfhdPfj40hdreSCmMl4SH0r6sYwNJ6suEN6ajiNnb8llU+katWOX7GEa+TrDPH
z4r94v42eWhANy0CJihLZiCbLh6nKw9legL/x8PUpvEuNb90HDENQUuN065SuF53HitkUM/e1K/i
uK2Jy2GSpEu6QSNmEucWxXQlnRYqclfEyTGPzPqeSGnjZca69t3DZNqAxEJbhpMGW9skXUF4a9vu
/KmK70jh1Y8B3oeLp6YvNpv1DokZDKl1HclkNzeAnhhHhcaVMdp0bjvBBTWUSFN6EK9s9WxqqXzI
h7F9sSKI1T5RXfeW1fhLHWXn36Rk/nJmwXKDUsxc2TQFWw6WHebP944RwpgNB1e7RsBBHzqfGD+N
vIDneRoZBbgA1yxf3Ts4yD9Hw5PLtgPiu7TGOfpKqnI6VY4RHGjU6he3tgDERpmOY7d6nXwFf+qd
/BtAbNg8AwZdls+4ujK++/syCJiH4Ehft7BI4SqVxnXS0bMsSO9TIDhtPloKj8RxNW8GssPUgVqm
aMoqPNp2pxlr+JjggZNpmE7wpuTD7batEizUcezMx6aGeUTzGvwoM09/9bQcTEUi2pdCkzW8rxgj
X15FhCuhDIo/Cj3d1mWj5UtAWn20MPve2VqzxBmW4to9e3qNtPOvH91fCxkuP+ZLancS/sBXEIr7
8+Ufa/qqUDbB1WgqDI0dLA8M0bX2mEifTyDYj8DlabWnZI4xwrNi86sjmenRtPVIS0RKxjNIC5/V
MDfSoXpPByAKC58VPvYt0QRvyCz5MEqjvK/jXvub0vv/+gBYT/i1HKyikAp/uX8KLOCNiFDFZw5O
xCkR04kxa7ipnYAZU1twzgT1yHlhOBwxgG21NTSzClqqbt+JEUwpzx4QL2Mu383JFcCxJ0g/RtUH
mzrzgqfMrXHDR0WIguqvL/5ty/qvl4W69ykdsc0Kthm+QbPyy8XPmxhQw2hfy97Gxz+2bfCDuznw
KAMZeQsZy2NCfX7OyGLZdqwDkeIXhbP3qng4lMy6lyMa2n1mjw0ZE7X21Dm5v/VHBjDLpu6Ls/Ra
YnsNPv+Y+xnAznZsf+BBRAPox9ZHG0Cc0KX0BiQ4crr01pgWWxcgITAlWzICpnHq+j54MSKR7GCf
e4cWpv46wPe7wYcfbqosmt4ap5DbZhwCtCJRs5aFW3jLzjCm7yRXcl6RL4PBsK0MsZbM0TdmmX4I
NowtodP1wkyrap9ZKDQLl0edmmC63B69wNfCrybQImJOUv7PHr3nQU6NcUXug7Q7T8CU+UYdfelV
KzcJRMY37rzhO/htdYKoS5O4wYERrDyqwXW8sEgnQffZ6IuZNMQnvTIk3iZIha9unnyaZQ4VNoym
PTuedtkoIatmIWuKJuR3NgLiE2Zi3iV/fSNQJPJN/3QnYISmZiD5QG3XsMD8fCdwVsOKS4caqo3o
GGfpPGCL29mcjRMSvgAWggusPF7AuA03lGLVu2N0EtsCZ9KaOcgexAqD5CzJDhBn2nEx53qcLgct
YZIVhsWmq1FaLniS9I+Z0dQ3jv/uw0Cc9r2PXUtbQfPM3VUbeUwYiObLjkPR2WvC1GbuA6vAbwxE
IMg2mQDgu/BJ6dp5KH1Ws6wYSVn5N/ThwuS3bOeMdVS8xcmqPaDcm8dV2+v9V23zWuH+ipjMAmyc
hGy3Fk/tzs3IGFro6nutxrh7IclohxGZPdpkMGj0zflFVBWm1ZKxBr9PlAPa54FgYsjNmhittST4
2/2kT8xXzTCkh1IksDD8bNaQyMl6K5E5lkdjCix/WfVp9Mx7IH5utQRCvqwY/pIBlycvLZJ4VPlp
7YQ75s86ST4mpwFSgir60nxXXLVhVAUOy8WD7uGlZh/lrBqETOHCjBhy4RcADdf2KUdeVrZcqHYE
2LEIup7HAAayVMPb1rJWGTi6pzDs2n2gW7x1pEjMj8gM4nkZCqdK77SuU+WPPz+EHcOmtUQ7+JFn
JedqV+cMjTjZ9aVWYKIO7TE9zNwIyNVJAVIjhwh1LN7EV1HK2ON+6uVDUmB3XAg3ma4NteWOtB8f
lgLjmx+Gk3pk20ttjTE0hbKGEBmicSPHNag8yOzw7ICWNCixcP5yF8as8UrVwq46EHYIr6pAZ/4r
sx+AHq9IvbJ4aVO2BosxBaGesao+uW4eXQzGoWQ0EKO7aP1ZPtwepP92tn/X2VKD8+b+9/ivfTm+
/9TX/uMP/LOv9fXf4Hu5QvnuVBjLP3ta3yHdhb2gQ/CH70JQp3n+Q3x102UJBJ7orJQ0hRHQH+Ir
jHhwIDjFeOiYjPCn/gPxlWX+4sRTAy5kZo6hDkgDDPAvL0mY291QuLF30Ot8utOStoLwauATJYT5
Ky8GBu0kY2CNzwgMWoCcT0+mmTdvCQzgCstYq10EQYLhIqrm4WKZXfCcSiOw7up4mj4jKC8h8REQ
QZdB0Zvasp4kKmQoBeuAWI3nGTjDQ48HjCQT4JvBIUq87GsYZvt+YHP+HE0l9b3MGi9HcywMVmsl
TlY6hX3kW/F+sIdsnVDEs9IsfJsSJDedL4wxBCXp7j7MMnlK/GkAqlNbV7B4vVyx9Q1+dKbMz0SY
H9Osxzcx0wy8ycCs36EBDC9TCGzGmNvoB6aoCn1xaLO3byb3QjAXaJhpNtsLs4DpKN1GjAufMuyH
m2vaQ1kkqGcRF4WnQTOAKliViwy39Qi4ooC17mms04SVrxT+Yhr76F1iUt5lBImt7SGI3uDdYh8x
vdzbti6CPlLYnOxxFlF0JhR6z0anDHfxmIVblOveAY/2sNXJ9TJXMs+dxzwiQGMrCwKHCX+IDGCp
hLzIRZQWAvAVk7SvWehTxT6jcfUl2Tr9neM3bPGCtD70QQr3shWOhF5TIlKviQRXB/DCxufBW8Sv
vBMTVx+/5OD218HN613IcbhLNb39iLSAfaAPfbwEHuZUj3VG3gZ+dm1ZGhMXx88wtGgsHs7CDVx9
4YUyOVPMl/0ytN3hNWOevHB6q/PuUN0S/BXJeWITGbr+wcS/0a1CJOAgjIvmXER9s4SHDgzNdKqa
xfQUQYWN2+5A0obKy42m8OJ11Y+Wv6Xf6Z2sY9CfZvljBK1pYeiUJGCBdQUe1ZgOgFZAQ89BPyV7
+ph6TYmemCw1neG9Ihzw4ozkjpdVYRM3YzbEYJq1uRElOXeLKRbjWXZtmDzXOnau4UFqXowEXuAy
7bZw2+LrCJ/1khsE+GRffLvUBpCSoTyBhLSKSGvvqZTZAZ50ckuCUwgOa5WL0lgIqxveRhvmkEfo
67fQ42fghUB+Ix+tFizbWGDVX9JpDsUO4Jay6gQko/GEoiKBjj93Vrppc3JUgHY1S3r2JUMcIukL
0SyAz5TrVq/yZd2JYJNEqcLMgk/GDaUC5kyEE6m4MzpfHEtdYMorrSti6h38NvteVlbA66+BNKoX
844UA667irrJF4M1B6vCa7gDraLWT+wiZ2fVtj30DvKTNxjdu4ORN/k6TmZ3b07+eN+zsGUnnNOp
gZoiPDuX9Z3T1v3BSPr8CnjAAmBbOvbWSSC4aX77ICMezLRMfrAD/8boi3RCL/2CfGGtEjQ1VB5J
+6ShgTtR6rnLtsCbz3pLPAIv5tTy8oKok9bCKO8k6OPV/iYZQ285GHh8hj69mFbx7CORYenPg62V
5i7pwivxNhFmOZEsA1woyyTWByQd2EB2kK5yQMBEt2tJOT7RmkcrfZj9vVvC4TMyhzWSkRhXpwJf
zPEEdNhqbLJnrHytxGETy622P9p+yuZxSqb7Obfli5lZFjU0OSFRCplsqqLo4Pad+8Qwi7ij0ckm
DqmWM8UtOTsWsR1oJGxMJaHbaSjPesrTi/MouUh2Zd/TsPJ2JdO0Xa/5SPcFYrp12JIaEhgS+39B
/M5I574M47Q+5SRubSH5eHdpY7wzB2XxGKK9n8hmQe5Td2tCKfHtmVyUhzEj/ySQsF2WTphxtQ0z
4UH1NJ+Un3jmJeKZAzIN8kymJTV3cR9jbzij4Rq/Bp3+kSAOsis6Q1/rRFquEsvtN03r5a916XmX
qGN+CfS76F4Tz94Ydq+d7HQqzoLQydWchfoTks+M1a7VvbmQyR5dqDwPULfD9SxqfZNVVn8cZAcv
XbfYb2aplq4xvGcculHcP8aWWR68qDXfzZZb2jTrkfyNujgiAWnRzdviTIxNupwATPBUjfNjKHJF
cdBEfMJ23t2TTTXct3YW7PTITpZD0qar0vI4MrPwLPw22cW0GgxWe9fDweO5mMPNcIVRzzAoZSN5
0LMq2uRpkp9iIwu+RYUcI2YZdvv7fMtKltoQ3xtD2u7wXdVk+YjpI+/6dEn7J5/MwTSWVZC4bNqz
uIPgWLffaqaU9wR4jPdA0lTas6Mn3G91dLXZ9T8yKDIIRU4qzO2gx5cYhqKXqq5aDHMO0+a2VHhh
ddrzRp/eI4KbnvBoM29mZDitx9FMqTstiXm67w520z10PU6bc9iYoute9drxcdewuRKp/jrjxC92
JXCo+IXJj3KYdqXT8yZKdS85yxLE0aIw+3zdC6dezWzysQzrk/zyusFZB+lc0DzGHMGRaTEkbBpi
sMJo7rejnj+NEy0d4ZwhIiOITXyV2aoviuzBJGN0ZRfuoQ812H1OEy//Wx//f/gUhrB1djX/vj4+
klmg/lVVP61//vnn/lkme95vQlcbHjZ/v6x/fEGpzADnRsL5Z42sNAP/glMIl/4Q+ZzlG47LFPQ/
qIl/XvOoDQ/LJO4bKnZPZ2THJ/vzerXXO0b+pMfsOTfA+ucNlrZkVMONjHf3SmcN8IkWq/5U87e/
keE6nlpt/mlUwU9HHwlRTXF1fHT9v/z0GLuenVZtus8TjH8kpMmNZrRAKmVO0oDdRfquY/AJ/UV0
SlECS1sFuimzq1XO32SgMAQlvHr8lKnDq8IX6oWfBsZ0aWJmti7rnTdZse7B7ZaQY3UXxO7crwvm
R2seVnn0Xbg6SsUZ0FJbU0qUTjF8dxMPmGQdwyJrAL63ZHOYzrXWZvLFSOUFUs8Y7IbThxM2M+Wy
gkNpK0Svw7wDw7DFDC4YmQ2aPgEgrN6B8SMr3M/9DLPGiSwNlXo2V2HfPArUV9rBm6KReanGt/Q1
hGbobEbf1YxnfQjCeJ334cSIF42u/RbpPqWTynfvoruyM1NGGSOC0PFSGy4DAjf0xvAkfS3yNiUL
rfA6hrqz0bM0B9cYhzlyF6MdOqD2kW7ae2GpfzIUke++Tk1aFVun1injtTS2F5DuGtgVgjCjlRg9
aXroIR0BA2GRO2QpOCgGwo9cJbENKpOtvMWzte5MVBs0Ve9V9lOnrcGWcHBiOdv2jmQ0PFKq6yS+
2Uk9nFwvIQaOCsWkNSAbTpIGtRpVXlyTPSiI7ZbKiYzJlghKj+CQRoXMDSpvrsnHTW3V1aVWWXRk
x1Jmdz1AT232g4fBmadvqcqv0yOS7NwMVq9p9+Wyi1P7OwiU5Oqp7Lvan+pV4Wv+JipEvO+ATr0l
Nq/LMYoQQ7hNsY/9Arc2oXro/zIma+Ts4QXGkusSk7lE+sWmgTy+lmC+yZ+f3KIZmgVVQPthlyK4
5mnk4vAm0y9V6X76CGzF1TMwR5WVLyOVAliqPMBaE9E2nEr/07nFBQI9Sy6DyhAMBzREy6kCAOWT
CAzFLxEarjRqM/hEpBA2rDK2Y43rxjSyp0SrjDdYAUx4DAIMY1rzZ0dlGlrI7Hk3B+wxU8Xlr8k+
bAhBDILWe5cqF9GvSvoSzoTuvZHtOpFxsxMRSYopkYrDLVtRpSyaA/4/pBIBkY2kSexLnzzGoHTF
G0N87wRogPeUMQLsTNJsj3bBXzLEaZ9ale9ojjZdlJmbd6NKf8xUDmQeVvYDUitxomdNXusiSt74
RnFvqgxJSEvZjjdbdUpVwmR1C5vEWe0e4saUl9ruhvu8QwCVxyqgEu+ne50TgsvRSpocK+YUHz10
4A8+WZhIq3gkdtnEQHihgDiHwgnNc+/BdxoAEr5M0L5hNTPcJDhkiI8dNcATk7jxkW1MdQCkUqzZ
NftvpcrebAanu+vs0gdh2xPQqt9iOoVK7LRVdmeFOHvbST1c6XgJN01Nxqc9IDVl5DG/kLhHAqiv
7THn5/uOcNBMpYSi9dYXIyXyWhAhahAlOtv6rLIeFlVKyijGTliNKnlUrdIWhV3hWRDtsIUwQpJ0
pE8rObGfhRXR3+n1GG8yC0mfU1jjQ1LaNVoWb4Yo1psPgUpB7VUeKkHMwwMXJDhTTPcvUuWmItAG
D9uSpVqqVNXxlq96i1rNVeoqA/Bsy9fO06KN9QYKQ/Vlak63lR4kyMUU6OZ6ciYL227TXWgOkawN
Kuc1MVgCeTAIfpBGqHLJVCLsrKMG9A3xVE3pcMQicakG3N2GSpI1PJ5/SQm+mW5Bs7rKnMXIrB/9
LvVPWpkbD/M0EAkk2tm/Z2uMLJro2uwWYit4UA89kJiVtHyUfMHYTfs4FeGhKsmVDz3SEbgYxbEn
1RpFGEeNyszVSFk6GLUlHh16E4P8Jy1YtnjMP6Nb5O54i9/tVRJvqzJ5U8elPSSglXcJY5+6NH5P
6Cj2GTXytrbi+Ek0SXsN3Q5Esoq71PqazEcs2/W3lny202S78jiopOCq7BmOq/TgLC4xsfP0uGz5
x/lrvgUNpyGZw0VhjwctzAfSNsVwQs5tHozMKDZeXNfPYLrbC1lsARlDg9ya8RQRJthXb47flx9e
V7g/5jgFeObQzqPYD7/GdEqAL0mf4rzajOhS7+apxb0u8OhrpbKW+1qrkWBEQslCbzPmBUhrM3rI
0aQLklpyyCKrZrRQdGuECeXes3OVG+6QdlNYot6QxlG/eGHhOGsi3PIPMwy9bVFPwZFRmXc3eAXy
TJjsDL08ZF8pGl8WLLxPMqvLTp2lY57w8vaYiplUV68tD3WpoTDu4AolVmqfRnZc6EqK/gV9DZ6b
yh/I+bA0cJYttNaHignVvdT8+bvONpssvD5W6Guu8R0jHA0xi+28oYvk6Em10gIvryWFOrQrpLQy
wH+se+XZTQvzFOtBwbHEfiH1YEOr7CRv63YlqZlY9mMUuL6GSpj5zhI9r/ee6tBF9Nh8R+VYHrWw
sB+9UNm29cm8Hzvf4hicjctcS30ZBgUpnHZ7qDNTAKXqUSUX8cpPauOIlDtBiYKQoImK8lKGhvnN
pWFYT66Wbeq6VLiOpKgUHm/tObwcszSG+lCaFQwCvX1wgfF8QoJlRCW6ijnhOPiPwk7gzNatsdGj
RjxhQoos0qAr65IGNTtuY5j8hywsYGtFvGRH3bz3gmbkawfhcKx1cewsB/h6Z3hrEWv1dwTvBjOw
efR3QVe7O1cjY6nNWrIrg7m9VDKrLulc1TvcXsaOMWxBaBmWi3EkcGgbiMZ9oRYwwK76CX04E8If
HmHAb3lJO0x806tdZ+5aS/wH02haIIal3lF3YG5CKDwSrJ10CfroqtH2TmG0BPoArw94adfyM64a
+C1tHIwHg2Bnu+T1NqdeyK1ptSCmUvtCQmG6ETEv656lYbIZGSMmK7OW1B8Th/DJDPt6hZnludCb
/DzAUSCNR+oWKqiZEEhEvThx2PlrsPp3Bqv7sytcFsiEnb1RoDntUks8CpA52PVVEixDBIYwakQj
UmLGQ7Hkzs4uY1kN0bKxpsRmZ1VSvg7tTBZPOl6dpiFxVTIhdvS5OHcpy3KWa07DzeG7XxS+0Rox
oLEFYSOPnmtQTE9UqrBEDH18HPQs/KYTLvTNMqgBiTWVFslndX2u0s6/k6lDtRLawV53KxzzoZ6Y
MCdK3mAIydnQ9kMjV1NoJoek833mHIOIe0pMn+ij2gjb7yb2rxbcZNrNwqsW0G/ug4GgoqnzmgPE
sfqBmFDziCRkPvl1I1Z+GrOUCuvpEBWjXIcU/q/S8e4Sy3kKHYTvvQEQKrYFn9I65KkrfmflaDBQ
J4qyDhyAwG7uvBKGB9ZGI7ZuGCMT7YbWritTvjfR/IHH8MGrAIr4Ecg8lmfRoq1jfVl2xbjVTQ1/
Bt6GiRbhLs5ETvAqKXE4azc9UuCl3/o3kl5A6FF8HqzYPLa29SYUJWoaIBCEKVFGaeoxeMwzLkw+
+ossx3FA+kaFRAcLITwac0MM0CYKi/ngxcM5mi3jGbpulpKdWeZL3YGqghAQeKc2SUZ1ADBkOTMl
tPKt6yGzhQpjvs2aQZRwLAlow0DlB7Z7npwohZhE5FjB7feute7acO3gKe9aZ1dhfWKK3upHFee7
GkLmstJreM21UbyPK9fbzG0HJBCo33KG/LHAnheeCi3jzZ4m89nW+XBsLdax7HL6BCAxS6diMvKn
jvn/0L7977YUCYmJIZ8lEqsfUzWOf8oyigJrJurdi/dJjnoBOjWb90Z6nNJgTJxHSy/oSKmlGI1A
m/8b4d2vevx/qB4NNCAkY2HP/uWHk2DQOGyi472YyuZTJk1xX8VZhNPFT69//Tl/VTfzo+DX8m/V
/Xqu2or9+XPGdZw4rHn5URVTN2Z23pwtijksv//1z/lfunr1g9CH+AwcdBZCzi+yupT8B6tJ3XDf
V8G8wXxm7Z0ezn9WxN2lbtLUvx/8SI/50vP3SsneOVXIf9CCSDXXQcRvd/uV/rtf/bv9KqE+SDL+
/fzojni69/anDes//sgfG1brNxtLAtmlKHQZAQm2nH8oh3XjN0AaButS8BJqiPSvLSuy8z8mSBCX
MRaoxC7T4WZAQfIfTJCE9csUh60q7Af8UcKxsUg4v2Lx66DzOCIn5y43Kk8smVkJMJRiZLi67Fut
AnTuIlbgMElJNQ9OZTGzwiGzgxzLleyYTj1mZa1r+aFtHbOZ1hq6HItE7oCJ6LI3B2L63BqG+SmN
LASzm7wZcms8dXoaRxO1ocspZrX0HOGmawlDvR+suv1Mw/EB7o8bLIWhuUsrclxaIN+HrVqHK8Q6
86PmSSQPkrxk0Ow+cYokufskQm0N0cBQLSaR2cuk1Rtt4TYM/XZZjU/rgio3fWzqwH9rM2nyZmZp
IxjSDkl1x7kdBUSi+68aXpqSHzE7cj0hmIq3Ff4ftKNzka9BjHnnFI7+W43KYaX55fh7PFhsLOzO
3VBmo+FtIkT9yWBMnPpmRDBgV2pgoWSe7ZM+i353Wrt+NVrTIPiijP3P0vc+s2k+eXqDSxOf17zn
P4LjgMH8HNuxvsMOL4hAMf3lRBQl/4zp1w99UkToKOZZX3UjZLkFS1w/X7B6ZaRuBSQNjMIedggN
c6IF+/aZAyvYG808biUN4oPfGvOBxUqNKCVm8bkIGPiDEUjiL+4H+yFJATytmdpp5ygvvO1kO6i1
ykncs2wvniLpssL1eopYyep9mEJqZbyoxtEib+hFQ18NnKo2zHNphYpyzbo1d113P8RColG152EV
9wQECgNUNPoug0Y0mDYmaQaYKRKo3Uie5O/anFc0RZm2JUBd7i30M596brj7qBXVo9Tn4NRrdXlf
amGf403U5vPUS2cQYAQHq0PWwuv9H//dpeyho6NmG0jjiS/Mb9ixwbeK5pBUWI6LQx60Y1au3C6o
E39jNNoVO5U36pQjCKrkGnmZ0D//e6L+Pyfy6n33709UNZEv++bXcbz6Q3+M4/3f8E5AjFbKlD8R
6H1iR5BT4kBSWpY/BCv6b7j0hIOExAM4xaD+z0crsnXw0vwDKDJRs/8nRyvty88DclBBVOSUBlAy
lFHkVzdYI6C/9YgID9LWp5oNV+gMCMyTwJhR+lvDmx7mLttmu7zG1Vyc5MggpfZyXSxhtyVrkLn6
Y9Klcl6zm07PEW0j+BeNJBLfbUgfi80DNmqxgL2AqsD2JmbJZeBbyMzS0QVSYUd3QzaW93oIf3dR
Gtk9Zsj0ohav21z3o22AtmFrITHolmGuBSsEa85WxlGzT5mZH3uYWysJUUdbmmQkNYt89Iw7d+K8
S8Gh0gm4uHwRvOEf1oxuNxRlcC1rC/NlrI3Tvtc/0lSW726aeUeZmgEd7+Sh/bfYeY2DM21QIDjn
MZi8cC1wrSDzQFS4V+7THRtc7XOkXfnhVrEPIa3w9sgFmu/hxCoRRUIlLlCqe9ADZnMFMDkektTV
MXtR6+ZL8sO+JzoEx8ROJHTpysR5PYfOKQQEfNdWUvtkbsghjTDbOCHELvZzXL8OjJOvxLc62zTy
hm9R1XWPvt/B1c8wqnxYgRu+Nhol17K3LRQgmGV7EKjIBeEdkP6V4iA29Jj5B3txd2nwMnqv0bD3
jHLHF8dwDC5ykX2w7ux2voy7jWCu9Cl1wshjvTkTcGQf0qarDqRtybsqyIZlYbvtxp281lgBuZwR
Uc89aW2M1dJXP/bZXHOVev62XGtZDpjZ3YxoBbZJ7vBBJz+BGBr090Il/Sa2Hm2x4GZPZWFFL2kX
03Gw6wCsOE9g33JGZmKlBbbOPt4wU6in3Hv7umEX3aOKBI5Ykl+8mMUQbCKlpM3CmQXACDiXdsyk
RbX9afwRJwa79IrwFJROWSu3VRIVl9hBNWDVs3sPt5msLtQuCwPF1LECeIJdyBTzEnQiBDdms+68
oK8Pn+GnGPhmmP591NNIjhdbAWfrZrzYgbHkO1nJ0F0NIPmgpxfiJHPbfwiDGVimp63R1ZPsynvG
aexTnPnDJ+LidK/z3l+OiaZFq6Ht5y3ClulOys5pN4nfFd/8MgletdwJtUNQG3Wy9gtXfNWj3vYk
v4wIithOB+thTsVbxwKqWIZF3T+Ivqh/B+5Oqkw1ive0MRsCVeZuvraji+bCMtMRAZlHjx2j2kIy
ZTJdZZWu2MSBMJ/NQY/uSI20PnoWOQWaGm7apdswQEd95RHko7vH1CZLhV1F6j+heALeOKNuxpKN
RipbMSArNx7umnc7jPxvrNI+NH1UYUeNCUjEmb/bVTMzPBGiLBBwB8VrEvatWGZNgieJuWnz1rlW
w2rCTao99PtulWsDE4SOjeA9Qq1uVXXNAxsdn8FwzPMMSKRWMi1r7WWVxFfPZkkOqEYmQKUq+RrK
7djVB/Dg7sHWya+h8ko8roOVbMu+50RrTNZzGvGY2yGz4iuccRvKoJ5OlFddYOFybvQ3g1DDtbQ4
TAeoKOCYC0w1TOyqbI8woT4RbAb+3i/N7tp4MaEXAWLuF7gXKK9qgRSPwyzoCcickKV72lj9ztqr
anaWxswJAAB5xYzp27PVNtpnabtIdeEwD0z0Zo3DRcISKJlXAfMgbnSjeVH9OziC8XudReMbaZXi
aDKSytdYv0meMO25CZY+Uj0mBH6QrjyjIr05GsHrw4oxlkKvHsMUHSPN6XjXqDV/juh4BYrxYCkJ
wKDEAL6SBQxKIJAoqUAprHo7oR5g/NhvWyUoiG/agvamM8AEVyxJ4XHWtZIhyJsiYVDihFLJFPSb
YiFT4oVJIUT6OwvuKLIGqxmr+EXe9A4zYw7ED96cMntcRP8QRvQ3lUQwsXQx/MQ5i2QMNmDmGyiM
mX51hBteOBYnBhyp3DOceLatorjWeJevvWgDEvDiJHgesQi8muRi9QvMAeMhmsP0mVRSg0Nq5LHy
cL9fCAnML7CYGDeHOYKxOLVOfpgDkB2Iak/sJuTY5m23nPIZgrzh95vac2ume7AjUVHq3SszP22D
fygCl5xhwxoTVvILOgPCTgS/vpwoUjFbBHLRyC54tLzG2SeIMZ7wD3ukO6Fw/G6qQhKYDTUlSM/y
ngVHcPLLipJTFZ8hH/yzUgXpODc2oFJ0NpMqVxk3UrlKmPq7UJA+kFizsZhE16/rLujX6a3u7VUJ
jHSfIhZTGYyW5IIJuFnYqlwObpUz9uLgOkrCvJzEODZTGZbLQhXasyq5Q1V8q+v51KiC3E8kuz5L
c7dU89qZ3Eoqd8MY7QeiJ6KvgHZqF08aNvGmnip+jt7NiMVpAoy0Gbf+7Pv7QbUITVDmFzaWw47n
iQ4CUznpTbe+ApMzPYa8tRu3zqNXTch460da1ZrQ+wpiRWlXkjqzzr1qYYizmvYtL0YMjsZ4Kuh0
dNXyiFv3Y6tGKFYtkf4/7J1Jl9vWuUX/yltvDi80F93gTUiwLbJ6lVQ1waoqWeibix749W9f2kmk
cizH80yy4sQSSRC8+Jpz9hnD7NCqNqm8dEzJpXuKL52UwMO4tnTd3SZDmt2GquWiIxuDrDOcZ1M1
ZKZqzbpYHZrjpWNbxhGWEN4Ns3oo6ekSswQ/OsReXF/JS9cHltuEjMqQ7zlRbSGRyK28dS7dogVs
nLhzx8nsNVE1Uj+ZDvT8Xf1bq4nqiL6TBz9XnsC4mZYyCibf8uatpZrV2ifWJsajE0LzVakSZpVe
dU1O4njfafEXu7bs5NV0+ImvZzPT7U0zLk1ENhnSxMU5G8bEQHJXRbCj+iO3rNlkR9w/TFxfZbg8
U/ZOnzNyP9/TYTKf/K53Hw0Z1Ucpk0dZuvOmsGRxQFBFGG8P68OtpnsnX5AO999EEr+mnfPswpZ9
s6qWCgJlHx4Au392fVjjjuvlt9IgukwU2okvx1QMBzApWSe/WQspkKuulhlrQ2l5uAD6BMgCE847
CwfCvO57EctV3fgRnCunbzbFYi53MWuBhD4Y0L+2+m/39J90T8x/PGZDf949XRG+079n848Tqcsf
+kf3pMK7ffRKvpLof9c+ef4vNlYAhlQoljzlcv9nE2X5vxgqy0rXdUiRpqFSc/41n8JSwFTJRh/l
wEb5W6p/4+OM1cOPjVPeRvyPO5Sx7o8zVrRHceMtxN4NQBAQgGBbuhuNaGFCQAZhIl3/OIC/U81G
fek74A374MGHbt+47FUtacid3iWwpb+7jP9myG2bfMYf9E8eojCHrk6nZheG/hFuwV51tjNwtgeX
+JjqxkcGe+OBIxpXjJjsbEWW80PCeSw2CVurLrJ89OTsMgvkyuFXryyNu9awPdls6tkt3M/E/EXX
cyxHHsaMNZ6LOO6cZpMP9bJFCqt5QW7jwrwpWttrtUA4nebtAbYvgdCzsosDIx8F9VIl3Kz5RMUb
IVzU8FqDw8nlvRe2oL3QQSL80LLSPxJuY4CwntPN1PiPzMZiwgj80bNuIYT0FMB1jslHojPhNM2j
VT+m8q3ATQYR3YItPYimTtc8uhCceFSkxnYIzTg/duRgZBzT7HRWaW+JO3aSoJmjcQv58gkAm4bK
YWmOQHKMXd9b7XvCwvLGL+wpIJ39yogqtvpOiw4nmW4Nf0Ki1QKtwqc7HCdt0BD1LMyrcqqQayms
+VRGMUu6NKNj6Y3qXhP+MynMZPsmbVUFS5bHXzBT1u5K7+2RvW2l3S09pQoetbndjMkwnQgvftBB
vd00M5ivaaHapx5BKrX1Mk28NS1QXL+OkUTYNtrR3tIT5173svqeZFBrXYQecpFhcfGAW+z/zoiK
W+tTGrHgm7C03yyL3CAzN7fSz8fHWdcRfeB5PExObe/yvCi3tYtOZW00DqAmDATKO2mwVA3rjcuy
cWUtukSbwEYeF8C45qh37rjq8or9cLNN4SEcI5zVR4Q83jE2WA0GYannX/Aot4+Vi+xcjgbM8KzX
MDu0yXJtleZ0ot1wv0Zu7GwFO94NDmkAC+bQwR8amo2ZVJ2Ds30Q20WOlN2QguPXjNt+xcp2Wnfc
aauFmdm97g7jNRXWcGWPbb+hhPd3Qsb5ptOWEiVRYvGBOgtzd9EQyomiL2qSmFuaIIhwOyIQnqmX
hPPF5i9Za1POJNKjbbB9uigzSslpT+f5V5P0kbMkDifwpom6vRYDmVf4B56ZY8J8CN3YOJiXqOBq
VLHByyVCmPkl9SVB10QLm5eYYYQoRA7rKn04vwQROyqT2EY65K7EJal4IrPYr+3KJl1Ezw+DuzTt
qjDy+ERgXnmF4I+rJ/pwWYtBOVGGeJvPpp2uyAsT7/Swo0OQ0tg8LmNdnvxcbVhrYuopOslZtlTi
sukl6td1CWKOmNYOO0WHygMsDOOdW+qJvXOzyjlkXfPJj8flzR2WaROOrTj4KvEZOwoOn1rlQHMS
js8EAhAOXXsqKLq4hEZnlwBpZpqESVcqV7oMXTagtlRx0xXizuHaKkihxoMJtZ01JOHUxiWoegZt
ZpIoTn51dYmyRgKD0yjFeHJjX8Kuh4Tc6zZHkeQ0hCYwBInhmM1lm98AP6h3mPRB3iHhJkS7YUxL
Dj2Og2uH4+CqiP1cNbx58cQYWcKlt7pqM5HeccakLU8aLLw2cC2p3yReWj26DKDzwOgTEegV/7/D
PepvGmOOj+S9N2fiTuPbxBxRNBXYKT14GEjV+yIoalKqOZ45fNEEZu9phNsRJ01SQiyxGue2TeZc
+0Ky1zKuJyn9e9MavWTj6kUkVlFNU7YVeuH/2iyWPM6FMT5HXoxghvnHvdENcBfIxVg0R4Nj2Ffx
XjfTARmjjMVV7BMp5o7kgdlWtaQrQJPxHXRd83MFY/TenafC2LeAfm6FEHW9YkyQ5WvIne1LhSqQ
fp5cDHvXqNgykHDZayx9ScSCMcHV8oqhWkXGaJPuaHkZEfBUpCBUOi0L7KHl5UgiHr5xvvv3iElR
WrpO+wKylJeIfB08JWfzNp2t9NBk5rSRoy03nA3TIXWz8MuQDQb/wU3HOc+PPCMpBn1XhQelVzlV
PtN3zCS2dE9GZGMfdWczJnugNeSR8Q/N6kA3dNWBG7h8bVjG46uCXQymG5RG5mC4mzZ23pEkjMHo
obzI5GQ9JchZDimF/a1vxQTSW8W7KVtUFZhLrZtJq09pyNG/2PkJtFf4PrXwUVxGE46tkTZjFEQx
62W9qWuRXs92xXCTfoI/sEzmDc59vtMx8cZruwdnYJq9GRQxrVnf8B9w3LWXdMzkXUM+w5Wwpcix
qsfls7CZGg1W3l5loKCCpqimnapL3nItq965S21SLGc34ehI3cHbQAeOT201IJHjcdpcWZ5ETGdb
MVA/o11cselnbRbBWDS+tZ0bQraCaen1JyftunIjHZm9iQ5F9Wb2S0vZbCKS79JWw4Hd5R10PS92
RzaRKC93dZYM2rof9OY5aePsiTk4X1f8qol0uNGwFN/PuvOQTaG9S9OC1ApLNO5CpE+M9iEZHTpp
Cq+bMCvFgRKrepmrsNt20ImDqtP5vkjsIv5XY/76YtmgHjU9Gb6aJKuqmCKhHqJNcfZka5xajjN+
Re28YEEazGFF3UXAKeQ/LBkMy7NX7KXPrWYQhzUbllBNeX1MvVBzsbh5GkY3sgfjNdEvJOtolSzu
x1jvrqs0ne+EYyQPUz7oVuC0Bk62Jgct27fI8XzSSCmK7HNsV3GAQsY0T0o0awf+1LYqRjCxEB8U
gmBAlQQWYuN6H9NJvnm+rHFlICc7uqIdVYFpm7QrKeC02Vg6sWrGZjl4KfRa5kq9c+oKfRErJAU9
Hb22uKxH03RgprDYRIFwjqTrphQO/CQ/bT6bKSL2u8EShdj1PPShqVQQ/dGYCkJnq9w5DmnDk4AR
cCn3meR6BhOY/5BHq6D+qnLLe5gmQwSVdLWW+2t2rrwm46CNfaveeZWTp2d0MdmEKMtl9lF601Nj
+vLesEb3RRJbs6suY+4MbtC7MELE6hAiyp1sG+ypiA+ZmMfGwiNDunFPPCxjdTAwcXEELuHfEPFW
f/NLgLrrXI/0Q+2lTOnhB2vI8XoCtaaeSKnuyvFmExvmf9u6/6StM3VSBb7rR/4AKDu/Iol6Lb9+
39b9/od+b+tc+xddKCQlrGO6NALv/yk0cP1fsFDD2beRquFE/tdyjL4OVZKnyPTIAdR67F99nXtJ
2TBoEiGVKPbZ31mOfVAd8PKoHHR6J1gXvolj5se2jsRU+IRxBvIhMsCLhIMoSYuM5k8FD7d1FNn2
X7RrH/tIXtC1XA+XCu/cQ2jw4wt2uR9TiTrznkjK5k7XBihRBELtvvsS/k1T+LEl5FUYcOFQR5mK
WOdjt9rZrQ5gPp72cwf/HPqrvENvRwA9P+aNro054uZmDIRMNbUPmD79/OVtX+FBfvDk0C3rJvw3
Ae6Sa8ty83tJEjNa9Giz2+05WvJpO43xss1dnDhwizzMgXFzxKjZtIBE3MIgX8kK2UbUiUb4oW7Z
DygzWeBUoTefOQ2BjUaGyFfeMmZbhlT8u3k1I7+22IUNWDtT/At22KJ36Lx5/oYdLyOJx8sQr8OQ
itEAUJE78shSSX6BeD3vwoGwJ8J7jBmRgrRwAAEdWPa6nIxHolDq62bMjEdzIs+zs/rwODpt/eoV
5HSveaDOhAPxiYg6GJ7yvpx3bYphJzTALTdhgnxlVPaimASAlziZ62fQvvzBEa3/qZUIptBWhff+
4BaM1ttarw5cKlirEetgYx0CN7B2ikPVrnSX5GwXK8vjXEE8ZuMZ39hyUdYlH0lbHiFrrt2kuavy
gUfR4NK0szxBokwAyXnBr7AP9WIMwHg0x6w35V1bdCBrendCd2fkB9kxyDasbnhK9WJ4kuniPPDt
mJulhUddmmgYewaB73MFzyxCeL9OSMT9FHdh9Uz7xDcj61LfO6PPb2jE3WV1pX9yaDX3GEjnb2Nf
z5/0hj8ys+n67GBIPYUTZGUZdcZjny/t57QbyxMrP/9UFB5XBBGISOHijOQSOP2CVDTPazwuELzH
cjA3lQS2UDvsQHqDVLjURF8nQv4xygx4L1EKQWePTLtdoV2UlGb8nMktmXcO091DxfLjenbrkQdG
msdBa5UNsmynzQ91C7qaEC0cX8i88eKE2T0s8WzrsGC5BjmnHqbR8Gum85AqoaFsmbvrHBpG9ZJM
cnhiGowXTA78VcrQVdONq/WAd/JHrb4OGYSDK5T2jRbpw1r4fBZHpP6q8+NiPWQZt+LFN2ZkybxD
BSNuIsE3EQ6+hyEcRnqh8QAP8rrnumZR/eqSkLbmMZ3COsY2VpLcHIb3jh7Kd1Coy7kc4/mTOcK4
LSt+DHkjsy0jl+4r+Hw41gIhbBzly9bQuLZtxPeIJIhLrW7RvJyGX2dGCNslm1HvyYVvQjgVG0qD
+59Hf/2cRygq4co9j1rbH2MYwjeR903vfX1g7w65ftWGBEPGrf2imzMyozDsnyKTe3Nl4gvbmYq5
LET+wjZ7+BVmRn0N5YmbcgJzNMV8UY6rdeCyBJTiwhI3fjfaNz044ccyaevn3naqF60T3K0urr/G
DKsXq7Bn8qA1+2HyZsTCSKPZBpRj9Rp5LqFuCa4P4BNY6S4fzov5EbRo8++nuS67YMJkfx69uf1c
txola9UZ3mqIuD4GZv/jlKfF2hn1BDI+kJL1RNbuzp4SAJbYg/maCizK65lO+gt8RP+U6rNrbWCJ
yOvOMSPPhFzuY317Hsj76N6TphfPiVEWWbQfrKUUe6LItHLDgmHsz7McQ5soSqsX91Y2szoU0/wJ
dSeYbEchOAyifAPMWpCvdN2m2zNNlMvVBGJs6MvrvqJh6bjDjkLLbju9BSeh5/ea3V+Loi7Yzbr2
3dIoPaw7WdcM3h9CO7wuNGkFCL2jPXkd8aEws09ok40N1XC/6QXSZ6/owfD0X7PYLA5aGZG/KuJD
vMADL42+PlWU35vcHqZ1G0YdpMhWbqKkvWIxFW4ZRRhHQJd+YMyNu87xEAQ4zJJrQcbdmc3rMK/J
WDw6qXckDkAGSU5O26r2Q3lANMNUQpvEWuqRvSoS0hxXRZ5/i2rs6Sw6MRX0LTG6qKjuZyAtG7PQ
/Ks0jupz66Tj1on5wcqUmEQy5MhU8L3osMx8kaYx6Ae91AYSwskarAm33lSjhitcsQGG0kh3se7W
a1Mr9KvRTvx9HxkPVgGWwWGWeSILwco3Jtf+va3H0Vnb0teWFTQGZbQmSGNv1om7RdD4gjalOfVA
5wno1ftDNPpGQF2ANMwOlXc7bMF+jf0uwlxB9AWL7e0Q85hTC+9NWjry3rIdA8NF1m6joUe8GGca
U0FvevHsgUmHlU1X5RShrs+z7NnX8NOtncmZIVMOybh2HRx84HIAeA3CQohqyTuqM4T7yhpxqDlf
9WDmEIlXMqvNlmVZWJ1F3tZXrAAXRrW6eTCnug2sOOZX1W4ibIarsuIOnDvDPtZOM31aRosOJEXz
4LUlfq/AGrTqyFhxea1z3T6Yc7E81gATI1pRH2qk7R8K8rBvk8xaggFT7jFjIrR2zLzgdiceNh9p
RFvBINdtBUE25G+gk2/GYqUTYC21odho8GbJbyb4F0Zj+sV1wHl7+jwyVJyHVe8P2pZZYAWLobjL
wYKu20QfD0liTYSqDEMQaZH/lHuRscsT7njHquKDN0y0SGMozpVfwaInkvy+6CbMiXJhb+k1Q76i
MY8F/XJT/CoiTHHh4p58FrsOWMixAR1gm3ZQiDg7g4UzDkhBXMnE2mmucgg6zz3dGZhHm2RzRpS0
92oZ7a1ToGG/1kVR5IzLS2fC+KcPh4XhEKYArdn1CEufx7wnlXRBW3ASXdS+F1bqKJcrTi3o/BBs
7Gd/0PX9GGdtsmJw0sLNh9a9dWN7eKtSAyNrPqq6oJZ309TlhCgin9p4jIaumH8SnxyivwAcYBYx
Js+hORHIVYk14SUtg/nKTvaoGMIWokdl38xmmOyJVa7fzJpwnDVgv0x9N9C1VImUphbPodxY0P+0
TCNNHALAD7uvuAXHeh2NKhRHz5QXu+YU/lbmOZnxsxbe15mrfgMZZYIL2jUMIlvBSWMSk2Rc2zdL
kmj3GitxPi65D9uePtMLIuTPGKdmkJZ4iuq3qe6Xmr0wX5JBsOZq7qkKfyu+ZIJhkJjO9mud4twO
TBgb1MkFNtfVNJMzShnqPEz0xi2JRRIpu8lEKsBzlB/wH5SnvFmWvdBb8jgqNJpdk+I2L5Dkh0Fs
tzzc/aLS7svI758S04puUBTg57ad+pqEUPUufIkgQUEhsc6oQ3kp5m8dEeKE1RCXe/ClNG45Bsuv
Vu1UQ6Ah4+OpPXBUwpwJVwV8lmBWBl4FNH6KE7zauN01/A0XS36EUu5KR168QSc3BlHEs7yi2HpG
bEoEw6zKX9+pnt1uyg9my0ewImE8YsCcv3lzneymJaw2ZZr4pD6MoPtmOyQLu6qt/JDR6f+GTvvz
REDjj02Ea5keTSPNDASvj7pFOCVWnc9js58kZwlzrTrdyALpdTWTVlUD1g38GDPXYM7DPvFgP2qG
+eqlNXnxkbVJbB5Tmj1GQV8X1XloTPE8gO07J4uVXel6Yb3gao6ncx3V5XDVxLF3CMlvDZgxLNtk
4kIWfIX7yE/sG53ojg2DCuoEBa7mwb1sSxykVyKmimpkPwYEMfZPpui1+yFqnAfNdudvBZmnNohM
gZLMarm3HeFQb4xVfugh7ByUypAGxiMiW0QZ/xKiCr76Jir4BVxqJIgK8q7MpfoufVUuZRRS7KiY
wbD6eUDHVW/gCCJrxyNySvGBbgeDVo9U3uEpQkcTM7M085fGQlJ57PLFZUgUjhEXKcHapk141zd2
lMX6uq+tMNfgtzCRbda22WmtCPhApflUhcJYtdJi9e46Sx4dGPYlAcwa/oeQQioMdHhdzjpMHGb5
xJ4iz/SBxXx1cwtylhippRo9xiLL9oxPHJU+Y3ZufqiEEyUUKV46qkiKK9oYfU/Xw63tifaznlLi
myVS/9bWoDIUfg2iuaFg9mJRv81pT4hWQqg6dm8vIAlt2YdLRyEXl07/1CX5i9uohNrJqJ+9MSeI
tYEbSzHPtfMzJuzHZeHi82PX7pvUtC4emrsM3s4uxG5frhnh5/ipvep1wjD7KmBRUWflJrgVcp62
Fha0WzoA7zRLnZn0SLPl5CVI3YIakomZddCnrnrpVE1NBgyZTUXHcFIsOd7wOR/7rbFEuOdbMOUp
ikDM8Il7V1hN/6QbvbkxS7N6tdFU7XRBZVsbdC1BUy788roKdK+Z0shLmdfXHYNfpqRiql67sPQC
y+uoSEPBBHddoXAc9q3el4SaGPyfsI3le1VOXJUC53BLVb6yAXvtgQHIo6wl0xC2ZQDXfHV0xUW6
bO0Zi1ZemPILYC6PyCPaW+bS/iky6uaYzG55cpDl7BoOrl2pmzaBNOXwBMOStmokeAE3MUWIR5lf
ZPTlLhndn7yxXL55/EqXTeIt9TMYqNthcuu3ru9oc3QbAFAp2HiNsbNGDGCvS00VLOpdT3iwjRXU
MG6MKlffgTXmB0P9VCc6WR4k2RjUNKkvtpyQRDVF6qxSHZ42Zmo6UtU0JJNO4xRPQt4RX8Y3UxE0
//VyBtZlRMYTPfbMvN3jVqXYoJ+2HC6VagYr0tCvlsiZz9PAVONyG5pqy8rtLfX9dCE2R3SaVjvL
u0unDXcM5AUKzLUDKQM3O91HDi4CjwEPshxu+akPGdpe2jIN6M5bJyQdBYMeLr0aoEDPnLdZTSMO
V+IbmoT5vPBzK9fTHPEQGCdmEB4wk42O+f1e1gLFMIWHT33Io7CvMI7KfmAoAkx1gc7JSnFa+EQw
qkya54WfYMWu89EMnZixC4Kgdd1r1YYpMm0kA5NxUxb8YqKpsG/MzLEfeNDo6BOdof3cpajAOMMy
+WVhvJ+vYBXK9wj7CcC0bv5UavzMQ7PJD5pqauEscqzRSYXHS4eMzQXAXQv3AnWZQrAWJk22XDji
LIOXv/TNLmFV5yljZlZWMQlNuvarDi6EMsUFhrrOCx5SstXht11uzYSREdtZ4BEKoYHUEB9eBStB
Qo0/eV0rv1QGswujjZhl9KpGGSHhYcmkwl1HesfhDk3ma5X71Qt4URDguvRJFeecrcaYSxizxHzX
S8C/Y5ahZGgpWzetQ1nEPtgnMKe4RQbHMdyGVXuVtzmTID9xqTWyhj/ud3K+UsLJx1hNG0eZqqcA
hfGL4XFLiKVvv/YyrF5jI4xu3B4RBoZm7p8MGR0lJkMgh48TqqnDpazwfCZTUVZm9wXr7O0ieExi
pjIfL88GA7f2sfcw5bkc+fT7DK+QuIobN9JY4YGD8U4SBd8ZSo75ODYzPONCMLeoqEAEbcg6dlLA
Cg74yaTni/QZzB3mXCcW3OpLcuMpHgr1HaAkrp9baLP1ljhGiqLR4DQT0fA0j5QndcZcRK9y81Er
CPIOOce+VK1XP5OSGx7pG531ZRQzdAyLPLMOjxEOoyCdGGQQykA6BOVlto08gh5kNS2o2SgyL9w1
dPhMn/BJo2jTh+qF/QyDwZFZnZWElGgdBYvlEK5nMtRTmAJunssxO7lcDTr2+arBJvSZbgrDLdQA
Vce1E91/Y4EEoln+xGZw2Wvsquf1wMb9xgUjscMI3K4y3+Kp5Qw1tbXFvabp4f00MqcAl4ZFs2Sd
dySZh+GNOiotAms2TWZlgLFNyGrEwDNtwGZsgZOh3KVV5TfZMBUsO3c+o58yHi3p9r+6JQAhZIAY
PWXGDzdRcHlcTfVbW6CCXsl2weCFxHGV1KRZEOX5Mgw2V21xAQixEeenMuDzpvPE+loOo/xCVZKK
VT/NePSBh/jULb2dXI+aziFL7NzwVFWhtWYVTzJfzxc+I7A9ZyajzMs/Xn6Yc5HyiNGMHirPyDO1
5qFyKJduup1MLOxFnBLajhV9YyVCHiPX5pAZbO5s/GKLzUIVwnjtLFTCoztvJzKae7FUzga6HJ9P
Dejctn4RJh3BqKqAeZKUwvjw+h0NHJ94PLh5Ou57TzwjY4yxBjIBBzVdb3rb5cVIm/OOXdhVvyn/
/rRcNf7gNmbk7SoerAvHGL+PWjV85zbuK1jdoPa7PaLGFjbx0ts3rgMWMurG8DgLjrbYp/juItIo
3Kgq0GrY1n6hOIDRQO9SsthvrWG+KsdafkG6KG4GPA+fOBKW7c8H9Ab7kz/M5z2DcCwHSRsBth/e
rIc22h00q91rCV78oS2dhxnGy1o3Upb3PY0J0woKUWOgKco6QhB1RhlHYmKr17RmtHr5sn/+pj6S
89kTsLU2BUZtj93OH3YjUBBoI5Ko3RdIRrnRfAsjEFZJ+HsaRBqw1QHd+7KZLYvZRNgzZEvJaN7B
IaeTE0OGX4abylIIb7LJqq9sR907D37RhlOWwlBrKsIuO1sLfv7O/02nwm768u27uLkYlvz43bPn
zKoo0rp9pJnyiPMpV5N7qkeJBPouV8NXZBsk7HImvrQzTxFCQegL+87+fffyX0f0XzmifdPjLv9z
Beqp6kmweC1fv99VGr/9qX9IUL1faFJM3wciLS4q1H/uKn2h1pjs7VzP4Xdz+Yr/gdWzfkF0adIb
e+yI8PmxMf1dhGryF/qIXNnFmezkLPZkf8MkbX1YHhqsLwRLPdDYiFpdOMU/3mbJ3IwAlozmgF3A
9YI01Yx7PZYgOTDebSuZeh3gc3j6reaGj4TrNIe5KMOj1iQ8UpEqwaR2kYnDhdhlpPMp+UterDwv
0x69ukDoxCQlgb7W+WsjTicqb9JX0oZ0komK9EkQFrQB1JOAGEFPX+kinoLSdAcaYDpGtlzo97sC
twGSCeehL/vpL9JZPuxruQKcC6awuQxqv/kRdZCqcVtFE39AFTfdQoD2d8ir/LXZdepz8b6/u0Vu
f9tY/k/ZF7dVUnbt//0vK+jvz8nL6+FLZ5HKnhg60Yd1rUm9OoHiqA+kApP+HOVvimmr0nJ+J2H+
6fPjg0lTvRLTDoM9OCcyQMcPJ/LSO8QPUPsAD0emaqI0QfRmazuP1d3DYOZiR3BreP+3Px44B7LE
HW4mJi3q43/3zEp1xjwFQrlD7yi2ndZDB2Tv59pBP9mkpvz9V2NR4Hgqkgzl/oeLGfnemJRFSoem
jzZkkaZYtpPTwIEmBvzx56/1MSBeXU/f5dfquZYOsOJjBNSURXlcZHpykPGUA1COkR3TJ5NG6zUG
VfscTzc9yuPTSMzFfskxbxGhSwH38/fxxxvIZhfvumwHseFyqPx4hXOQh3PRI26TWFDQBIH3CsDd
hY++AyHvL17sj/eQrRtKuOdh9RUsQ358sQZNr9U1TnqojWW5q7ymDTqNX3Ad11l8mNsEGLJb+qQy
/P0P6WJWRtProN7XP5xLWZRCSXLq9ADCcKCe49scrX4cV2UCR+1vvRa0T/5+eJ86h6oN/fTDawn8
vMYQ+3BmkB4HcqKJX9V6M19F82j9hY5B/V0/qBh4LTJVuZQEEgn7Y6BjWnTIKZGZsSJaRiOo0Coc
88QajODnn+kPcg31OlQ9PkgVdbuaP35vvZO3jVNNCckbLHAQXiF9XMF+gm08IIaIk6ToVlPTwetc
0LqHG0Sh8fnn7+HDvaOuq6H0Gvw+8a/rH+8ddKQZHNWO9zC0gC2MQSKNZnx4Dq2ZfOHIs4PWsea/
OM8vl/DDJTY5ghzHom6CKvPh6xyYYVdL6CaH2Autz03qFEcYNDN74DLeNVZdtivSQyFNjfMEIzMc
+3k4jPBRvxJYQONdky1wzMIy3EeK/RHieiSHOtX+Yhj9794nlEVKA+JUKVQ/4kky2wpHWidtT+aT
8zaz8GzWg8xZsIa5MzqALVCLrsj7diGJVWN21plK5yurDMNDn1Xiyu9gOE5Mqa8VsYtN4BBXKQt7
3/2rGNI/3rUe0iKG5thCkLV+fKs6kFGa9TE5FL4OaC9TLTIyy7bb/PyO+XC0ccd4OmeM4v0q6u/H
Z2OiAV8KtTYh6oOoMRK4GXyVWWUz4xD2w89f6+NxfnkxamvzEkjk+cps9P2TavZauwVdxnFeNYAu
vXAIdIQQa+KUMgjsKttrGucro5/cZwYKhHlXdrf7qzdhq1/ij7crfC1EZ75NUcDb+fAIy5taM/ll
hHsca81Mq2lymHb+BBAvYjRzB65Ff7NVSluSXAJ26jiN+O9Z462cgoCvy77GRx91C/icnLJWpnWz
ljm82bWZFcs5j1siPYi0ul9yK/w2TH3+BM8JMU/eAOwCb+Y8uJJEMLPw7Kuh0TlwYaqb9xemFTM7
aMeGZ5xi4HF9oCOpetTccbmbo9DqV8BrhxsGBN1rHs7626JRxgHXQc/rT2XIukKz62NZSCj1hPeG
+6U1wNilCDKJf3MbVSNUmUD9Ik3xGvuh8U5xZX0agZJJKJ2IqtYMSsS3fOgEI59usuJN66XxObL4
ZTPEhP/bDMlbH3N4V21kf8ME45nrsqBsRDmqe9GaqXPUww50xG4UOsVQ6U7tV89lGF6m0n0mYbjx
7gkS4H7j1x9lW5aCvHxdNyDZzJazU29793kRoR1MxLifXfVnWzS552i2LRa1rK8Ic0hy7RGP9nzm
OUPKu5zHm8vlDR1iIc0y1u9YjceENy1uHh8IIHKso6kX8TmLfFZLkmhMTDGX06o3mBl12P/XnjFp
rPgz7shKZ6uxvmw7+4Q9KAszL2Elquvxo5gS8blvdJKPTUAQt1bGiAbwJH/PiA337HR1FLTSTd4a
3R/BQDcNCfU+EVIL22YeCmlkWZ8YrzfmSjO5tgWZiW85eyPGg5V4RRGvMda3WzLnwqRY7uwRTf66
y5rpFm3gdJPQMMcInYzkJXc6jiYs1E/GrIt8Y6n7sIAqcPR6kh2UnKVjxTzBog2MomLxNeTcS6jX
lnM0zuxHQ1qvedW1AzGNtobHjQ1AG/Qxy8h1ygdgfJ+iHVi33GAbnfSq11ihc6vJ4+61VZJaE5Jb
s+9jOgbHrrRH+HNcMD1CEhJpAPAAY278BU/BBMHwBp6h3HYpxqRoXNS4V4HmWA+RTBUnB12x6PB5
iTWxKkngmJDqSIRfjr3UnT3zm/Ax6txNpch2eM6z86xod6Hi3hWLu8sUCU+q+RpGcevZU5w8AMs7
XZHziCBAHKNoeiY939pQhD1fsfbgFIDd46rigQXFlygmX2oAg1aUPkJrqiPWQoxhWs8MStH8ZMHH
yhXhL1asv3mA+mcq/l8HCLDBHneOiuSmmdC1YKCegkFxA3ngWFtbJp+cEKYiy17zKkeip/eYg2tF
Hsz8Ql9nikYYL7oD6AhCYeLH9y3IQr82X5nlQ2PWCiuYHZJBTOTxjNC9LxLfEZhDFq6M1Dyean1t
viC5OsLqNqAckFqtuImEfD8OQ3hVleBHOsZum1jMUBbzggNYqBqpMOdrJ7Gsc7e08s5I8vaoKVbj
sjinzJVKkiV+xzlyiAB3JP2l3s9GBb6kDIdQrmZFgjRgsxurENzuqbdz3lCVCzWpms3lk70IC0mp
kiN1g+lfdYYhbyiURByM/8/emfVGimxb+BdxxRQEvObsdHoqj1UvyK6BeQ4g4NffD5+jqy7bstXv
96FbanVVkpAQxN57rW95i8cPKPY9woPoHnfFeDu9kiqrrvYRFQzMS1ASONuwwBztZsr/lRZQUnTu
6TN8LbQ6Q3bRF21kfmMqNX6T4zRtnbnvkZ5o0JnYbMBoJnVTXHcK/4LkSaMzjtfPXtlZBe0EDCfq
DXx1WQma0zMllE6a8LgngMbAVQ/koU4pfcBNZYhCQHxCk0aW/8r9bGu7uGJW8iDzudlYeAIv3VdS
aEQXCZnfK0EU+yVZKQtWtFwAo1AKup0n+4j5SzSeO3BI1QIkTcfeJGvVH4MfTqo7mBKv9NKBdfKs
DNr4SFAHI2B7AZ3OQ8GNmbJ3oETIjZscbda2mNonlINiZzKz/N67pf9HQSSGNlNa9p1dCPmoXxmr
5oJbnXp47GHVsx8rdXOo5xkOsdF4N5jNp7VTVfXaUI08UEEHZMNaMF2ZZra/a4Tg23pMp2OjnAu5
QGCDVx6sG1gnlDUlW5hF14Xa8SZ/JciiFnYo/heurBW31p2RGHQf0FAh8JXBrRZEVvEShkqLoMv9
qecFVasMugZN2W18BE4bcIp4mRa27RRGYj8uwFtvQd8yEnbvs6kDa6A6Z1WEVnoWpsByuYLJxkHP
1AyhtR8WpK4RlBce7YN1WAT2ddTk4oARyTlhN1/UzDORwaKxNoU/Vvt8YfYid/Wfe8UpsdA0jA4W
uK//CvrNQpi/MVxrOvojLraIEQhAWHR5/cIJNhdiMBC9ylshTAQkPL1ChZN0yPd5VsrvIvNo4iz0
YW0wrWbOvsxlFjyxohw/wRzpb9Qrvdh5JRmjA+Wd7gYjs7ZqEJdU7GDhYKJRAFjVMV+wyGpQ9cWY
Fvl17Ql15XdaH5ymi4mTBapcLHTl0YezjCfaP68W9jLzJH/PjKd4ycD0e9usDppHNxLNzlvIzcEr
xLleeM7GQnau07x9WBr6jFf0tm0qnE6BmJHGdeE8PJu4p0YWAUjREaJXqKYW/OgmLsWGIWB/boWw
yM0K47Dok21W2D9H9IOA3OoQMR2DmG0ZRcvUpK9epFUOx1mnGLMC3oF4Reb9tDCt8Qiqa8scupe0
zVizSQqE9x4GbRYpsOWyycS9YnAuu5+eS624Mt1Sx39iY2oAggD24MFWJWWSMv40XlxeaFHbl8ko
+nsjCocXt03871EfwLEpiQfIN9qEQcprj/A2SfByWZQHw3OnI9bQIIJ7NBCsTDCOmRXNxvCHHB50
s5gsEaSv2UXhzbYnydyGFrmDuIh8sxz5mukqfXDL1LxwxyQH1DzyzsB1B4Eq73sPEUVWxaQtpo0+
WGDLkeIVdb9BPFuxnE1zdOtDqprWmlzhM8hJvEYsukOrLMRAtAbpa9wBLTIBuFb8brwUmF3V6sh0
vf9ZUxstRq58UxoFV6H1kx8hEzWYq2xxLmJZ2wB17VYfPNMJHyZhO8+GXRt/bFzqJ0T+0Z0o53Rt
VXysdnVwb5XJsIyf2h9h7SZsJ81gjVn4no0x4OzQY5aSNd885yHCXrqaZpZXdFrcVMWDKUpzZfrG
NzmQlJnKcl7jPtm5eCNXbUlQDylWxUqzOdlIGcdo5BDo+dTY5Oe41TrQyUuW23G5NqiTV32sKl6V
0cHWhr3rvfG3mp1gTy2PBpW+/y4jkxBUlHe0OwgxVjKAQRP9zo+CaC1829jIkNvZTLUFer/Y97NF
fB0fHDOH2iOKzlZFMeV7AnL1beNBAbGZzl6k5fDHqHFENXNRrrxhsI8JjV2k2bEmq2DKD4FJewB/
Anifuu33NWnVL5kizYoan7cOG6Gj21futguSZleMirA0pdNTZul95jGNdthwrSmqPXiN+mr0TGsV
u9o7iJZkV6wAWAgawqt7H602W8FrbXVo2nLQ3gzNf6sWSUBtVPPe8hIkuE3wo52MYtdOtXcOkcNe
zXi00rG76R3jOfHcHfTXiX1KcFkW3RGJ8fexmMGyhEdyjO6JML9gyaVhBI7s3GvnP2kTPZBe803a
5b5mN70u0/w5MBNwkRlNSqmCFyJ2ujUzPnCOhiXuqzxpwQrZLzqw2FgZEYt8bJ/lXoulwDZ3aV9j
lpYj4k/vZzEE9cou6GqvBKL6bTT2BBU4808NZd9Le/zxhMCO6ymYokcTgRx0ntaHx9/WqHaQYidV
4uyteTs0yRMmkY7xc3wSzb3pD/1d4zcBE8vkVjpRjC0iyNZtM/RPht36Wz3ChBioYU593xoHDNDL
Yz6ZR+Ek8snriJBNisbzN11MiHLSeLRHx3QpJ2QQa4anFlto7NRLQqs3n9QgjHYXF/obgdLBL6Lw
QEQZdU5Dh1l055t7ewCqf45Rt0P6yRhXX+d2u3ye3WTpM4mNHtm8KVgLOEKKO1qOWd2u6Gq6qVqZ
aW6BLwKnucrYDx2k00vjEm2OTDYdAQKw7AKapl43UnJmwZJ+YIff/SgL/3ShxwPIURkxCOzaLVsR
CqmN7VeURRG3fb+pWF7oMy0zjanqw+99RIEQAlbflZUtzoFSk57NO+7Bb0LE4a6gSk6ksVVT45mX
qSGSYauW2NailyxLI+yfdWkt1YmV4F9IZ3u8Sr3JOpkWWh8rgl0TZyTmAhmkyR250vpmdUJtPdFS
iWAWNV+qavQEWR0oq1dOoJjwx6LuHhtw6Rs/NzxzX1tOe8beno82vNLYxhUFOk5SaCByAbObo6d+
eAilNknL9g/5TX0t2nmdEVtxhoQmhQZQtWd21vEi7Rw8M7FAAQMG9sLvJT2CZVLzeryhdo3tVAFi
Dz1y4qkThr1JqPDT6x8J/ML+ZnqZd1vJNNhLIeYDpLz6GY8PNZhubboEvjNejTPbHoNik1nPzKg3
yLiYkGHFyoxVs3ttFNe5ZoyiURj2GX3jnAQUc5UkcbA3mMMei5hEXw9l3d5De/hYJYoTSFI+kXVk
BiDS62sB6Pyp6E1+dbBdfOdRt2fYC/R1ptnvzsYiX8p61Dv1hIdBm5yXW9ALrwVlXzPENRnBU9rA
uKqp7fs+l+1myMIxWyUzXRGalywGvUV1YgL9rdxBNGcZ/qaC+9+cjVNQYYqh+YdWLkvpKPrzedC2
HYGQeUAAOe8OFa/KaK52KhtH95Q3yrwUeNfPqxTHQTcLmlfhnB1f7zsMNWgpkeOw/Vf5Q97moIPg
n1Mm6SVyuI8JRTXwudIUocy6yfvlmuQ9UzaL/+S30peVJPzZo0m5di2EiwgZy321tOJgL5JVNYVk
YOajv6nITUEbyh2gXJPPDoblA/PUu41sAmFgzCN4Jb95oyQyR11K86kw+SuYpdszWS7/t1JcLcvT
3LDoE6aLgQ/awqIIxKZBw/EUW8JNNxkhJ/uk476PDbbXlqTPunltPFlkr/6ZLZemErqlvTPzoalG
8kgrsXQ2vM6He4W87RRY6BkGlKvPSDn1NXIRHh0j5hF2nZ7Z5IjBLKyt6jmTHcE9jTZAYXZDbmJw
zkPrG8UBZ1hCs+mJKY0ydsDYrPdBmdgn6pb2UQXL5S2QLx/7iss0dJX9bcxUyk6LL253WfyrINzr
ucFkWPMq74ZjrqbwTNFyLVY9wqBnoqRQb9GRUw1/L2iT7JzF96UXHQomwhhWtap/lgiP0WKF5MYO
WNdMxa+jVMjDvhiQwp60oa4og71qB7WNKoR+Di3wi7ogGb4dwe6sZ2+2zlEIWlel44VkETh8c0Xl
IzYly+EexQPND8aiBJEtd8FY05oTtaClIED3rTNfUROO5JMcPTmbL5GZ1s+MIo0KO3vNM121ItxU
VKe73mR9DFyuVAQM8m6JEPkjw5oTDtRyD7YmWi1J7vURHgZKQN+ZkCjJRSSP8Skh5TsefvsedTJJ
U5Z+6qpE/9CDv0SCsyFvaaXW0TZmW8GbESHLyeqG8jIeVX+HScL/VRNP9iepNKAjEecT0kHeTFjI
mt0k5ETuC9moZ0PQhN9TD57dqgM5GW5kRYMby1pSTf9pP/+/0OFLoYPvforaunhOyt9/ixxe/8Z/
RQ4e4HbHEy4uVuYD3H/MD/5LfpfW/2CFZhwjLIsov3/SiuX/YMyl0S8Dk1fGPw3ZLvIHIQHJM0ZG
0r3IH/6FxuHtUIFpAgUzn8MsCtCW92YeNAUOgdjToiAIgU5sxXQBIfLzNv77QyDyEMJn+8hXRknx
9yiBEdKyOUTzOYABzmYf3XlJwDyX9P/EJV8rB5gY/n2U5Vv8Y7ROXq/WIl5cseWPzvhR6d/qKy/5
VyfyZrYsk8qldOcQ/XwjzZsp2TTzy+dn8UZv4fo+uhUSJRCxBJYPLvXvs/Ag4ZQD4VSH0fWBnRoU
NUld3RRFsxcxPdHPj/buhF6PFljMrkDAvXPjSy00AWiyPUwV7j6T8cAqKaTe5lGdb/79oVBZyMDH
eoWc5M0gx+y8WvMy48RiP7rTqduskClbF6YiXfrzQ72drC7X0KIbzPYEydo7YaCVgXIle6k9YDTu
T1musoPXpoSw6ZnQnkgXe9Jlp38nXHn94WzLsRyUTCDj3gr8RBKSV1ARNjBlXEVkt4QwQrmlmcK/
Pj+/t9Pr5fxsm8n1onLw3LdIg8wx6rmujfZQTLGDXj6E22g0foopCLpYjuv4up4sjY17ji967B5f
HH95Xv85k3s9PrJLpsgAzqFP/H2PTpFbx2aGbNAvDL31Sk4Qce/95ye53A9vD4JcErsYhY/JyPPv
g2irUpMK7PagVGPt5RiPqPylE17mtjkf5onM7qEnEbpq4Yp9fuiP7h/HRqFjBqxZgNz/PnQgXG1F
ttMeYAJNtF4E+cTpEiIqDTNvMGmxj58w5G8/P6xlvmqO/j5pyFvAO2ybl4JlvdWbLbzaNBqa9iCM
sv1ZofwYt+wFIBIsdn8RZvk3xyzYOOUQEpzOxGLROfwENDv2ZOiN+6Ru2wc7nh1rzQ4+3bRK3tii
GMSGMnQ8BVDEaQy05sZRethB8g5vIfVQeMmiT+/I0dJQbWR6jrmAyVpFn9CvCQ7CcppX1nAA3rEG
oEbEIXtZb5MZMr7I63paZU1frbykregl9FQCZi7PTZiIjIYl8uRYTPGF2RgeW7cc3pvJTCQ2xHCu
oqLnRl1ckID5+lMfFPM9gPR8E9exvU5l89OzC4nMoCAQzWiGTSfnYu/a3Yl4LHWvy8m9GUkc2Ru0
q7eV06ZUOOR8573l7rqMNVTq2rrwae5tU8fVKxah4ZsjiUFy2Que5JxO2wotONmZU2ddhCH5ExV9
wXVU9fFNmA7jz0AV082A2p42T6i5DQb4hUYy/x6BvD4Bom/TTcGc8B5dgnA242z9btvFFsIEXf0x
GlfHa53m6iGwEz9GgaXcm2Ew+aDlAiPguqjo0KkVI9l67U3C2xR1qE65R4sTYhnkphCfdb3m+xHj
J3AX9XlqXKaR+1t1sJPGSfW/0lnfu7P9OygD8V3b5KJjjEueFMGAZyZWKfarMQ9SObq/l2I4WMUj
Ct20YcVImetrOgazeuhNPq/QfI9Uy+xYBKJ7SJZbP9eNPC/8PmYzPoZbR7QgHCGFkKVuE2mHG2MT
tHW7G5Eu7IHuzfSDQeQDwZ7Cra8nkxocn+9RMK870EfhAPbsrZsmVfux8DPsqelwm1Vzf6vIBafN
FHTcGH4CxDiCQmXmYXZE0eIC6SNKbUA0cuUHXE6soZjhCsY4G5tt06UagzQ9S5nQ7uqczJCVbhIr
XPcthRDQvoi5fEK4QtlnGscrRkM7X6zmUWTuLbcNX0IpQMahnQ8v7TFgvIQpTfYr1yp7YgJD94pk
XXszRURh6jlyj1PdNqfGWPoauHTOvKD2rkPDMfa4YRyCM4voNLriISwaSiMIb2CyxGAyeKX3CFyf
EMe+1wS7E4oTvijEB6ugHiu1coze2FdMgv+4aeb/obOt1p3RQQuXVvASB6a1Rb+NSRCbkbk1OkX0
I1EyXI/QzECvzfpXzpg2XXeDzrf48U0sN9Z0KPzAPuVR5N7RNpi34eSTuwq9wdr72ID2Anzhk2+H
A8BAEd+YRQNChoR3b+P2mopeJgMzGgYcP62sU8em6IvL3tHjc+sQwln2UXAFUtC5o/5nnAx2kXDV
xhLnox1N185ATyiqW/86TdrymZiK8aadJqwKaawuNfmcJ0tTSXdNIM6zmgaM1YhhDRDdu62B3W0U
urADxbU/rAWAi2zVWMvilduhumlnk9y42QwzUPaeJzZIfyrIpKMJ9dhTWOryKr5tiPv5JfBfHayB
RSgzim7PrYFuwQvErp7qbg+nOCo2XU3wIhtKkG2m25Aw6UHWi6smvpsp9qJVNMBj46GJSa8MyFxA
TTAf+bbRnW1V83HCNXrO2HBa5wL+zRpgjplCIkuDM+T4YgfZzEMMEAVnogtoj9BGID5+IaTGWVJw
Ag73BAMCOlyBqbbm1LZn/2koxQ1+NEBhxlaGfQiq08yD9RAqroOu2ODYNEiuSzYBL2OjSPeohgxB
vMusCzbGWrEK/EiSAKrAIOVBAS38TbzRvIOVIc5f2yVjleT+ykdf9dzB7X8BpInWIKds/0OIXv4w
dRrdhmXS61q6K3aJJQ0wJw1FjRoCR4lcGmCImUHhq+3gk2K25R6euboKO60VLUPZ5ZCM/Wmq0oAd
1v1kU7Y7+dJTx/3wKLXqNpS9/FG3dYxtAvHy4rWTZ+Oc/MZAiKrXjauHISlAtAd9uacZF5Jvh98t
xUCDr4sJhqmXOr/qn/E7qzOf0LoMWGMqNn6Y4cXCP8bi2Q6XAfMmGlWxMEBLBsmFl0FatAwVBcRd
VPpQMdYDhE0f8qy1nSFi3DEUx7SzaAPIylP9Mh6bD6qs+cKmxg4RJHQJLaiiT68ijcRdmrKvSm5R
+yX7mcV2Ptc9hwU9j9NpxuNhtfSyYLQZd3XioeY0ND+97xB2VUk6oH3uxL9em0HZ0qgqWk+ch1aF
ItvrUDA3OJB5+g1/TyHanjm1kT2MpITsy7KhBdl4xla4LWwWRVMxem0dLy+7LmD4aaS0UUfgL/j+
6JpUAZPYmHbytdNO7rNVNPm2rLnB4f5lpNogt0K/qbaMjsvfKe9w7Otmd9dl3vzAjRRde7ERXam0
D27LhUjhuejGk5aMcr91vCdFLapWhIyGpxzn+PSfpo8dGrCfSL25mQ1z+D2UoXFfyDqkeUtq9sY3
vP/+TpnS4Z/J5Mtq1xl3pltbl7RCjbsozFhkILcc09xerOg6+V72nX8TVIPeGUCAH0mzcR+H1nAf
U1FPl7ypvF3cxMZmAmewoa3I+CCEvjFHRvutIvlqa7fQ5Y3M0ZevV10JRDn45sDOZ+bOLEuCj/ES
n4sW+URTwfMve4iiFTfiTovKPJeMT7dlkKqzYlLOtsaCSqfYdHmIZTAde1poV6FvRWeofZi4vt7L
s28h8DNccrEJKzqf/URfwtIJt0wwwXe44EdXtHyyKxO/2hl56d5TQPD6XoWoavHn8jIEVsjPP+NV
yDogSVZD7zsaA4eQyol2npitpSOJ2ikjyZtFYTrD8ldekTcyb5JK9BEtxHp6MJH1iVU5j+l2JgeC
fjuQnTyY0lWfyfTKIdp+1zv0vd2+YHwwzoCb5chIoa31VSM7Xt0S5+teEomKnn8uZLaxLZhdKx8/
7pZ303AWtCgU8E13zL4V5tw1+RDVXY8Iddez4LAHYhZ8jhVZXTVMDJh4wGGIMCZdTKNVH4kPHXco
/Q14PVlp3HWmSXMNTCo7ZhfXZD4wADAjbHoofeoUbPEiy/aHhmFfPdCAtMr8wWTKsi1qmtJOkFgv
rzoot0DbAk/EfJkCn96pTipnZbiLXBDByDZBGM6AG6kfEY3y6I3utPXV1J4BRKRL6kwDGrki8EA2
qgER36rsnPnG9JiEAtWEp7YO+Y8714DMtQpo6p56snDWIX/0OnXAbK6quQkP5JC4+8R05jN4mR5Z
8cl+OaMrGWtiRgMRA9ZIbNJ5kuKWwJ52i2yl3M51bOyp7YlucsRk/5jKyYd1Uja3zuCgk80S45xh
+XVfT+RDuYwgicT57TfE2FkuOR09U/A8ncITpwFAxMRRBWSga3e+347big7sPgwZGROsoM7R/bUo
QxtTbtkhxsyoRbFW8XQNgqdaZ51X/JSl8ZN2/5W2O2dnaxgy7NuaM4hIBOfOyd1YxfO69Y3owGq1
50IMa7ToBHwj4WEE7j/h1mvXhOBVDOY7nFz+GEVgYpk1mr5CXiNqd5vLmvMFnYsdrAc+yIqNOqAO
L+oyjtbZQPy7l+SIuitn6InBS+MfUT+IQ6YtVH5Trwli9ufqtsYSM+NDRwuJIzo+j1Ovvi4Jen8y
8PmueKsXwExr5vCDRBxqoZDb5D5khn6Y5qOdBNnezeP+YMTQ0TdV1LjXpIzM16AV2lvIS9kW8Y9k
9K9bYmFImthqSWBMCBFjT2RHuhuajG6cmSdHUOkkJVmqeQlw+Z9bgYGDMctF0G7GKnJGpsO9zrLz
rnxhe29915TjF1bQK3Pd2qK6GZqUtCS76sfrcJ6qMzUxYEqNuNspHzWUXRTEPWVwgsGqtvyKG3Cx
L27sNrhV43m6ci2V3pRCVbseN9R3r2V/tdJWbF9OfqC+Q1iXR4zR5SPMGjNcNWXvPJjLG9Kzippp
lx8Dqyn78zjxXdJrO/UIDFzgo27GYy6i4Xw0puynIhsNAZ3Fj1v1KrweZF38KjpprgfPcp+Zo1aQ
gAG5Hy1C/E6togL3sAox5xgIJ2eoR5LgBJjs3illsUXaQ7B9Aob3sjKm39kg/Se7klDngtkHMgmB
DZ1muk6HYoLrHs9MUeMCsUZvaLzbRLqcp2meHtIa1FANKIWfl7ftcaKqQEHugDyyQN0QJbaBfHtH
ovCTLhUNLVZ5oCEmbsOAkXVm1Y+tkzqbzGOkg2BENhC42RlDgfGKuyorqpOac/usbRFvsJ8vkEYB
FM5qv4cK0sHjO1AuecbvSeWIxcZWnFm95z8QSVOuqDv9PVXMCLYkCe8ZhChiamR+zVYxfYaDUd2n
TdY81X2t5b42BPPpJGySbD9UIhQr8Hc2xZQqb1zHGksoi4wnstaD3tu3Y3oc7P53NPqM7+nsnjSp
vecOO9ufZW16ZDNKbDVGdjlXA3inzjHyvUJtuGYgXJ1A1Y1Y25taXdIIjC5J1wED4eZpt4WJ0KD1
Ixylg/7xjef/lypN2NC80+ALggpGKKHmY1B1/XWGj2rj4it60G3n8OIiYgZ2W3jT1U71Qhvsh5t2
4w8Ekbdzj5RzJxm5bAymLSThzKzsteEQ8tLnt36wgBqRhrbfhEkUyzok7suLe3M3D0PPaCh2AVVX
7j4mwuUEZYH5Stb2JPQUAbVpakcvTJ8AHLISroRjkA4QaXlHqcP7BHHyj7CQJgFcwaOr3fHcrC17
z6fY+GUadesmLlwWv70aaGphaAuH3bCgULhuU3oRBPO4H1rJFQPWuCcdQbf0V7goTigf5RC7d8lQ
gfrvEx7YNoAtXbKnmmIv2AnCspQT29fUIA8syNmVrmfv2KAuhQCivG2dl+FzFWQzIV+jT5vQSS89
HaLhEQZVjN2yuyXQogFfM5bfSpD+7HAN+s2FOgPtWdyEieFdy8aMiGjw7EsrHpw/VkR2TZWOAHr6
JDqGZdxflULHp1xk4tYl4rlExDyHRv89LeH5Q8LaFyy326F2YKYrbd4AJvQO+YihoFJZtZ+AbN8q
VtxVr6F4BxC09m3eE8k0A4OSpnd0FnqSGtsfcVDKQxrFvLHYCB5ZSI1D4QTDia2cPBJbE112UZOx
/63KP71Kwebkqn5x0P1/73yF53kVITJ/qcw0Nc+tug/PfYiOG7olAFoBedz1tqEnIslsEZAb10b2
uiqbRq+ctqrFrilpIwPDaVHWTG1+VxYgAAsxBfs4WYw8tLDuUED/1hp9sUkUKVIUpz2a8/hTCqoG
kdsQP4SgSGoQE80Wk/MiCSzc6dbBQJN25PkXT7LwHgrEdGs3rKIDu8J8Q7vjZ2cniDjMKUThxPt1
GnHea+9ZUoLodD6J1rxhDwWkU9ImMnrf+ukG+XjuVgIqYuPQSMnK9ioKrcMAp+5P7DniWpiGfdPp
4E+jXeOBFPju3rZlG29EVzWMxlu92MItuTJKUe3NQPfkQzTlxlML8g4/whcepY9mII5r8oKmxQ2t
G5fxPyc5TgcUSyb0Xwn2yo9WMdx7KE4OkUd1G0ga+Z/3XT8agmAUxltDcPni0f/7cFHbmBZ6IA7X
KXHX2M2eCgAufijNL8Yt70w1S+cc+rLtsg1n4mK+7SwTM/ifpjawgvFn99qkn8L+l1Y06Y0ut/BL
oHfx/Nl8hmlHRTnSj/v8dD/q3hNx6knPdfCgvpseSEfNeAFadPmReyOILoDHRZ/086N8dFH5CZce
tsng86271sWT0rsFM5jXcciQkhbqBpMm1TCtv/j9PjohF+GA7zq05jAp/v37ZboviZyBWjaODbDK
sfrh+dWPz0/nq2O8GcslArQgTysxa7a6mL127/rFV4635cf/u/lvM/XDco7ZyhXy3c0RpP7Y2qo9
1LzALqLetI92VdItH8bkKTYYtSBRMq8ikIAbcPMmAY1EBHx+nu8fPUingj4qz19A/fJmtOOKGvlg
FTSk1wETUoTArEcra065kaL8qYNy8/nx3l9Xjif9ABa4wIv99tlrFgjdhOnnUJSaVcqbbshxkV+s
J+/vRYcZOjlW9HdshLJvHvAgstTcZnkD6zUiY6eukjWegpNMaWh+fjofHImTWGAaZAw478zHQZck
ROT51YGlDdWS0Z0TbnlXt+nD58f54GeypGubFr8VK5e7TLD+Mev26iJzglZWwKnMbZs/G36+TjNY
u014/PxI78OufJK1/nGoN3NbClVvcW5gFQIgtXFLN1pwWgp7bDBgyRrK+X4SDKZJGQth47q0+MwW
TYrHvnUL6xqCKiOgvd1RSxetQxescBF8CaiBBEZphOagyi/CnM2g25QOYlFaxmyu1Da3VaqOcsj1
5Vj1tLFgR4L7pu2wGr1k/uJE3bfww9dRJs19kwfAwrvyZm3O89lwAhIPseDF6jEoSvPSGvxvk+cl
z8Xcy2O/oDkRVH1v8brvZAaqKNPemYcvKBGMZ6ymzhAT3xchuyPlxcj8i29ANS/mkOqyqLIGVNVI
0yFxJPaylODdaKzQaA22PBqp0a+1W7kHBlxAghQePY6Tbqjj5Slz0TKkGXkRmvV6E0QjWKFIb1wW
mICrZZPWQUKv+SIXYdfnd8AH9xrrEsHZgncW7/0391pYDA1j2InrkhrdabAC54xfXR+itEUkr0Nn
PHx+wPeTXwIIwNEIHDwQPN5OfvEkDMNYF9Uh8BUBRQngnoa45pPn1Gof+pE6xfRf7giais4/P/IH
jy9jbZITcL3iNZXLpfjHY9VG02DEvVceqHWnp8EbrR8NTd87jOrp788P9cFJMuVlNaLg4Z+3M3SG
I2w6p748FENLaxRDR0vPhuBcrCbtmddlib/umLJNq9Gmc/f5wT84T/ZVjsdADIkEw+a/z1NmEWyE
qiwPENKSfTOWd9Hi9fbTqf3iffL+SO6ySFkYeOExiLf4EArBLsI4mh+wHD1OE2Q029c9T5Hj/Ovb
lO0GgimEUcgw3vnFawLfeuDMOcNF0KCzR/fFSa/GUXg7qs9f//YCuiakMPY3LgQG8fa1FSV5XRKf
y2mJwjlg5y0rBgk0drt8Cc7+/GDvH0AOxtaGrQG5Hfbb11fDgDj2+oIzM9y72DEesaf9SrVzhyDw
iz3I8iz/vQXhUOhzPE6NNf/Vjf2PBwAOXzKVBtNYbIlbh4ZJUIl8JfNhJuQLN09Oku7nJ/fxEeH/
IGNbHrq3rxe3lj6G5OzQWMMxC+rnarLunDZrUPt6ObF+9unzA350R7LxxlPOroMjvnnGBbQV3Lcy
Oxh9f5zy4eC62VXimV8c5v3GxjUFjnXARgAm7LfUjME3dZLw0YfBsBdDOBlLteaN+PnJvF9FOIpl
stkA5eC9M+njkNFlmlrZoXUoayn30JT2f2Tp3aSNYqrmz2tnqr5YJe33b0qOysKBvp1Ug3e8g7CY
cQDEqKoCgY99JGGFd10Nmk4HjOrmkklWNxEduTIqcL9rUgxret+m3CvdRGc5w6QdPNO7eRLNN4S4
0AVq2Oav24JmMSGgjfHuAxvIA45A8cW3//CHAfzBHWfhGXr7wzCXjHPam4Sqj8xl0ilIj4am2fH5
D/PhXYauEj5gYC9RO3+vsIXb8BqJqvwARZAwp2o4mKSb+FJ9tWv54IGFJ8felnUI0u+blVxA+y3r
pmQh0rXDNDuMz7Rn6t3nZ/PRCkSsDXpEn6Kca/f32cxgizTh2BkKAhwtg1zy3UWPpr7LX9Dr//td
NDUjMlFeGQsj6W2FivfdI4COR3TKwl/LtWsT76Zow8fPz+qjh2fJcJVIcikM3mI7QB2W1lzx8OSJ
8K+zBW5vheIXHddq10bC/znmEHZQsXRfvKo+WvPQqrrsq4MPih76J2bsQM87ROQoqtLAQRHt6vSh
TudblusvjvbRDU/ZY3OzU1m+UwuCfkdHhnX5AHU72xPII29GG1fm5xfzHa8F/pHJRZQ2ryMHmfOb
dTXobd1Dec8Ofj+aD0lsVjsDxfEqTJ0hp0Evx/vU8iuAuGq4aqYyuxS5dPaxj7BrxsTGdCmtN1aD
xxx/BkPZHjbsFy8b68MrL6mweTJhmb3d+LRhZ4qxKHjbaJdeoWqeLRVUa6Ql3Vki/cde052QdUwn
s3SSh2wcujMyZn7EjHVnb3FfjgVwVLS7K28yahI8OY/PL+QHzxqDLbagUjqwBd6+EHPJd0g0220w
zb/q2VI7s0ZRFeYMsafnz4/1weWwXoWGYlGssuv++7m2oU+YLm7owxxav0waDptCmM/dlJcHGZQp
Ji1PfbHD+OChsyza9uxoeGO922IPbT7pNqo4vVQ8xUkEjYPRPc3Mdl45uDPvm/Z/2TuzHbuRLMv+
SiHfGaDROAKd/UDe+fo8yCW9EC7JxZk0zsPX96IiskpyOaSKRL0U0EAigdBEvySvmZ1z9l57rDeM
ZIfD3/+sMMrgtXKyEfL1SmlqHpojt60O1GpXePwa5Ln5LbLkCGdr9G52SUH/9RXfepIc2WgDGILq
9zUQje8KJlCzrg6aHtXBLAZGk6XsbkegB4fCppD+9fXe2HP4gJyh4M4jXP32Df3+8BY2oPErbu00
REi4TTDlel3VG4ks7t+5lIf73bU5MILr+vHFUY6ZdEVJiSa8qrwhHxa3ptPZ56QX4jfL11vvKKFm
vJ4my8pPOuABXUy50Bk4tEX/ANXjxbLqhxzKsZ9E9a2Lqf1vF0csYJguDEBk6MhffwHFRMPdaJfy
sBBr5evOeNf0DZEYOLp//bzeWJjRFsMhk3SesXGsz/O756UW3Hp6SAmYR9ZTNE17d6kffn0JS/Jv
vDrQ/3CN16uylmapSaDAAVWv8AmbVCcQNdad0dtAZPIRpnSkY40aGwVtLI0eq7EhktNiYNOTNknz
r0cSVSaMe+CabzUpBMAG3NCJ7JrTYprxreFFRFDOOLRCpZf7okWhQXU7B2jhwmNswZ1f9Amzolhp
RikzvLvFK1BclAKeRlW0zV4f6tD7Bhy7JmOS02G1msOJML6OJyfei6adjzmG0atBxsXloDXDwc28
h6TK2oA7vMaC0Tf1CXlRBxRKBMyNi9qGfWyhGMxGsttkAuUo7Xe/vr1vvZvs4o7gPZErpfTHJwj6
pO5mm3cTreBzPXXPbqyuTantZFFhqiVY+dfXe+sbzpmbwx7te5Txr65nxXNZy2guD10drz2nq9HI
jmNX/ubw+rO/YCWeGpLGHz0CMPQ/fiyAI7FsJq8kyS67VSppEA65n+vskUkU6YBkzlrGx6gpf1My
ybevS5eWO0px/fpA5ikwWGq06IlU8/I+nnRcQo2p3aJ21/Mtg3NqnNoq4BFkQ73JS5RCQC1YyGtj
OFpIfa101I5S77Wd6MwyCFGH8cKpPcYPxlhe+skSxFeNE3ogkDTRxuuETe/FWTaRCO+NDB+/u1i1
j/ORvKNuwZ6X8vOAflAvCL/FTfotd3fCgoeji18vFpID2i7dOrAL3tXEYf3mUbz1xG0AtFBu11xO
sd6y79aIRG+tosyG8gBAbGa65M+jvs9EN/zmzXprLfruOq8PRoMaipwUgvLgWmvIK/2GoIjj7a9f
37c2RBtaH3MF5m1QSX/8MHptEHUFtunA0MkN5tWyqBOJnREWHrfzb0xnb16MfiU1i4e77XURYTcs
RmXOd0WL7YJKdNkPptohA0NQ2SW/uX1vLQQrQ5vdAsveT4fffJ6lnSKlODRpcwsQjeCMcH6q8ual
SzBvxfZv7qR4671wqJIoYPFSwfD+8VYuLel3rsk5LZ1yaCKLIU7u0oxHg178ppJafDBVjeNbefIu
0cP4MEcomyOgvJdu5GY7grXmRwdfABrtMAJZ9esn/eaPx4JIG4n+rfd6YRynkCy/mGPOWKsX6UXv
YmO4zyXD5H/jOg55Jpwo7dU38+NtaAdtjhWinAOVqKKb0z2Xs0YwUN/8ZiN969i6om1psaz/57z6
HsrRQ8aNAOvQIRyPW3RuY3nbVBYZ1uI6r+qHIvd+06h46wX+7pKvD6zpYuYIdfTioI3TnoT5FyDn
KFztU1MNv6k55Fvv7wriphcNbpte0o/3sVtz2JfJKVhmjPljF6uvMAHtABSOG9C+jYKVDxAUrMjb
pF4Fx5pY5VkNyh+PFBKTpspTWEO16g1ky1hbMBvEXXMfLR74XzLFgiJs3d3kjO4712LVBGjVoprQ
2okktbW1WRlf9dFA0w4PYVL6x7Tqr/AkQu/nyJe4w+gXs0y2fTEb9wrlJZu9Yf3mbXrrLnirU5cW
B+/t6wEsoadtWyJSPixqOS7dIvxON58wj5/pmT51yTz+5oJvPeLVnoFj0KHZ+vq2q1REc81h6JCQ
XYg4pie64xudQJJ/GfrtKkz99RfmjY/Ivr66jeGwc3Jf3/Pv9hPPnl2QIzI/QGk0t3Ez25dlzAlt
TityYeE0H9Ahffr1NX/KPqA1gPbG4KbyFaW0ffV2RdqcM5nNi4NdLF4Qj719b8bk6ZRyts5xlefv
YLDBPjCRbH3TKbsx+IeiXwBioSXaayM4v9/c+p8SBNYfaj3dUPxQM/1U+0aTtahw4BvdLiF6NpLX
dqjS5K4NCUmGuSx93hTkUxYYxKiJg5mZDPJr83coYvnGWrn6wpFjwMxm0Gb8+Eh0pBF20SUFvuUU
jMo3cXMiQV8gsCytM4/LORLzY53xWUApy2kiC61gjgpPZLgZ5ajv5jkEN/GNL98t+nuOxeU+Hnml
sE0QyzN51h5d7suMIpMle9iadhpvEQyaRO2U3YEAKmc7xb2zcaMzeYDyPpPldM3XFifKzBfhKXZ7
75TrzgcdKNhvCvO3Pj8TMDzozjqhf904ot2W5m0n+fx5Nt2DKUWQZk/JUyK0ePfrN/GtS6G+RGuA
G51t49WuydAJHvm6LQEhjTeqdldLz6Sykxfn0dOvr/Xtub0qvSgLaOFQvbINvi7/S83OCSdLKA6I
W4FZy8AYx8diin2oSFApnVycRaWHN91kjFeGoUW3BMDBLZG52hPx3Px5lPz/+Ibf4BvWGR3fqf9E
CWyeu+f/eCm7pJuvnouXf/7jMinLl7bqaJ79+cvHL//8x19/6185Fd4fpKQAKmUmLenc6qzkfyEc
POcPunSMQVx6WpRmNtf6K6fC9P6gN0LECoZwenmWw2r7V06FKf9YvekED6wOZ0zq1t9hONDDWleJ
7942xDpkZTBpWE9b61zy1RorYZ8U1Dz6udS1Kq57TCK2tiF5LkT1Iia1zcA8VP4sgVHuAMQI5ICq
k6gUczLmiiUpfYB/7SVhRKZXIc5Pl6dpyU0TKBgzzc3Yik9kDEaPxUQ6GvB562kg6O4SYWh3s7DW
hLukSumhVegVgNTym2i3J0/ttTRmPtWl5RnBzXIoJhydTSc/aSMZsWed7GtSnG2juxhSQoQfZRb2
zkWLcYV8REjfPWlqhVz9rQynwWlOSHcr3SfYZ7fMRH8uWTtvZKPLIHZk/4G24hhPfg8Y+TKTCXlf
dUNbYJfxbO/ZVQs7kAa0YFb2MHkU8YxqO6bVGjSQHe2jyRr7hXNNfW+bvXFsnS7eG1OKldKbt5gf
k6DV64QZyGAY+9RIsEzL7MZOnTA98EfkJcmtYUE4OIFYHc2+xm+AB287oT1PUHd9V0+L8di0jhYs
BBhvkVZ4UzCQDrVZYqe2touptXdCz63LwbOmreh6Rxx7z6urc7d44bulcJ17tRJ1m2423GMTdlLb
pK2y8hUD3tYBToL0/TA2Md0aA1Ie1Tb3AIpajbT2ZHtVDi/O4V72BaJ0Awyt7pN1PZ5hjEVuoEUq
3jqJvdzVZWQm+j7Er3fIBGnJXcMJyOhGTgsArqDczIBZzbBOd+4chgcTFO17tUCvx2KjLQ9e7uSm
30WjkxxMkLf5OxqwffkY0eWDrNeXJoi/LWpVr233Rp/Oenskkq1EIZTmViKeYSA2EU8OK4pF9b8t
WjMwCNi7woA2bic9xM4BBOeYDAtC8tCG2gTOMsuqMQ0SC8igSSoK8Wlex67ata6/SnwQXVsGYdmI
sBHYAMctNechm0gLtgyQ4s2ltRpllnEBV12tKNiadgd+jgnbvZOVu9LO2kdNi28n2ic+loloFy0T
5u1h/kDMBn5NJwl34TDf6+jdcfhSRi92nV7UhaYfsaZkuy6sjZPHzutnrWi3rUYBXMCnxkOVV7vR
rZKzls/LUcc/xQPKjUfchx/LDhxxLSLHxyyrBSbK5h1U4K6DY0fcRZuMn5qqyU8NjvEzwroeAnCB
OoxUVeyLQWuqHiaj4v5oRHwXWhlEteZpIGHTGDdV/GIt9XtnEsCbwkrRVNFhlJsNscjMCAh+7efo
ApE3RXtCS4WIrPsu0fAsko/jD4YVBmaTiht++vScWrMGBXvq1BFeBnEYuZphA0puDl+2A64rkMFK
rmSwjuSa+liO1n0t8zv83heLCPde0+urQfwhsTFL6K13cqLxDrIiyWZQ3lx93kYpdz9CZeUO5mNb
13t3ni5TlNukr/bTrlE53tNw4cQUmu9sSQMI1XwLTjt/yU3iE41yxLmLS+c+0SiK8c4EXodqnrQq
FsHEvTRXL2daIMzlRCF8Gg3mLS7RcltMTRk43jDybinO6DwPG31b0QZa7PUHt8k/Lw57fQ1f4oTb
C+VYA6YDpVR6FXtdSlQapw++FeI2iuvbAVcERPYNxqPyaoIB+Jyvq1nWh47y3bTVzkoZ5l1i1Pap
Ul0c8MCanaK0/4C18D0oBZK6jelr3BXQuZ0WhWNS5/hv1hasFnqnfk7ktmVZv+3wC8Hcs71jljp3
od3cjkOn451zoMmm2ugEODi7J9aVfmMMTjj4SnbpVWpgS627rNvrPKidXtX9lRVZ8Z2cJu+ymfS7
pdE6LLC4oiIY3anXX89TsUM0jyc5JaYBHN4dHDdWl3jNEdPTHbHUkh8PcHpsJkTpxuwONfK2TKCG
SruHvMzsnVEs4f2YjZdKq5tgwor06Gjpo0VAsJ9rw3O7eO/tiGz03oLSK3pFIzgnnd0YdwwIjpWd
7j0jhcyV1uaVIaJ6P7rN5xInxxY8YLtWuw8KLQgvcEbdWcT5cLbqUb+KhbzrPXWRt/E7O8MLZpCC
ptMz8Vlpt7bmfYTj2wbStIJsXUuV5t64rdy3STrdTTw6vL4DQx+WUfdjFkbifY4efNNIh6+aBnLc
cAZgdAM0y+yEEq3bWUNtnEmScf16UPjFmTrGQTbn7j6f+uUYV92BWug0JGG2J0GQQCiP+WNCvjqb
WR4soef47kg8K2a+3vyMqbBbgz4192qGdX0bF2vIpdPUl6SXQ44eB+zmqRV/QpRiBqPRX0xJzZ4w
5o/CHA4lDlhvWNhYU8/DAdvdA8e4qhOn+DxMJcK8+T0xEPl24PPAnKyygAo3OQ8zcb5NIXYmAXFG
EGHJvpow45FPHMI27ZdYnK3EinazJme/7SP5AXy1gmkisNVpDf7pLdFYJZ4dWd5E2tDigWxiginZ
11RCexK0eLphCqZ2Za/6C4O82CAxDHXwep0Yb6k9xtq4bs+EUFe252uudTXq9Ga1Mi+v9UgNiCbn
3IwSCpu0vytTzT16bbacpkE+mpOuPjFdwIUYFhAidljZMZDKXDBuMs2KRF/2WWM7dN7nQhtuROwk
AbkL3V1rlTdjqWlBnWGemfHDZJQwK5Fthz2jOtWL/eS2NHCmBNu8Jrqt4OPB+Mvrjyyv5mEUc/ic
LqLZjjSajghjjW1aDfHeJqLSdzEXBkVm8mHb4cNKu96C0tMuMe1k75TXEVMxtO5Xmwn8poeG7Fux
zJ8r15nvnREMb9a7H2RmqaBwC+cdUZrJRoPpC7QgTh8I3dX9adTXspeyUsqp2kzm+iXigaW+nCSB
ny4hqqnHjxc1bbEt0i+qyT7NuubceV45PMl2wFzXx1eEW1qg9dmynVQJQqMTppLBohrTJzQoP7fL
UhGC2gNTbcvoUhj5ocvCLNBQ0G773qvuYGzWGJPcuL/FreQeFseun7TFO+Cdmh7IyjF3WPQBn3pL
llyUXfelztzPrM75riZ5cQPpo39MUnG2S7jBymvmDVEMyTZUNhsEba0NDRCYhOB/QA5XqXFVSsZD
CI/qi1S0+D67dr4oTJjpYyUmItrqz8Q8iABMRyJulBrEPQtkO21lLwEl2N0YgxMuo3ZnFmbG5tVq
5Yca6to5AuaygxWdvNPHRs6kM+cuPg9zlgATpPhU5pb9CfMktv1lZQ2EMXRXkXNg6LnnBroqaAou
x+NiODn9ohEAq29KaVyHFCqS723ZwAEi43pTcPIIYuiMUUyrTZDdfG760dllxRDd4xntGnHJQSso
iIduvOVoG+OXKrTtfU0K6Kbo1LSFjWIfQyiw/jJZns8mueepnazUxJ0M9nGTV1VKAnT/cejMLjBQ
q2K1DSWOxir0G0LUAi2rDrH5DfGuAD66Ij/IDslg3KTDqYRlFDbyKo1T+ZiYeChyZbvnJC6qc9qR
LJpBkp+XeJcPuPTobZh7XXzq85gDU0q8bVqEj/BkCz+HJh9qptyQvcLU0mp8F3/JqbHncuvU9BJL
3ruimVqfToAIKq1UQWIOsGSnmuUksXxcMQO0ZcxLSxZ/HD20xRzwdwCLNAzb6nGqymqLpBVmeFKc
EZvPG7QrBWY+joZ5p2EvjhzFnphXx6oy7zxUIXs7kp/zsn+s1Gxdaza0l4I6xegsUlXH0gwa1W2U
OePqU1ZzqTXwl5pFM97hXMGrlxfF49RhTMQAxlY3Y/tJBc5dWaHsh0tBYG5a4awEj1TUatpVLWe6
pAqTL1kjNlBToCYkvOWAK30yRQrfntzw0RH5RR335lVjel3Q1+VXDr9E5sbtVqRLFcRaZvBIh+uJ
BFVaj33x2Jgphjmzj3a1WXpbk3kNh24X4pWW5gSxsLjMY1bsPN2qr2w3/KS3DZM0lPB7iLXTbT07
2s5rbRHQ9ePUI5R3rav0qpzm/srQq6Co8BYvbZOBv9bnKxjsJw1hG/qaSgbOMAw+wW7jhSudLxX1
Ri60D4a7PEfK3jui7S8oc2duRrYb8+UYutmwXTRtn8dfNbdGwWW3+oVoU3Wos+YGqf0ZdjzLI9SU
gAxyfacU5e1gNHIvu2FvVJbwZZqe8YWxgab6Sc/cR3Jraf8ly/Pk9J/DPgJRnPH+VPK27y6dKnys
hgV+xVRGHzXiiYIe8j/RwEsQSedi8dz3rqo2jedV+4zN0YeIoa5CApcx0OkkLJjqNmWIHmhtqgdd
D48A0FGkX2UhQO5o0W56vEYuoSXTwpaQhnxcdoLa1zUV75gCtseGN/jj3MQvMht5R8Jx9mNptIBN
zZzZYGwVH/IqZQidJKJAaGUw4ZkqmXPAqxpnY8RNiU3QAIutTTXiGzvbp4kWNYEyGj0OqqxTH4xR
JAHsbIsiR9WPY+/mRxzVw5FTdXb0oDrsTa80d2QZRedR7+0dtL2HuUE0wYjg2iPK5qZMNPHVStr+
vMSJfYJi3xyMfF4xs+G8gzXUPJjlvCYEGs/U8OkleF0K/Ei/XpZoCODQRhdycmQAg9i6ZGRMlNCC
UkISZLOBUg3fxzG1Xec5xISTrBHKstwPYOU30aRRVOGlhRbQra7MWQM3j3vKRCRLcp7cGnEeXtui
s2k8zp/covf8wnBIic65YxxqgRkxX4MbeER5gL5lHK7I4llDlGKHvdj7SP4oAEh6y5u0iAeQxFbJ
MahZNmPGP996I9Apiizctryuxbij0cnIGGhDNU3pLq4IgufceHSKMiWzqBh2a+Nyy2qOc7ywym2e
JfsUQQHFlHvXp5q5pxSm4yKn9MOQefiAQ1PPLtmq2YVGqoWrufXOzFVcX6H62BigrKB0FIE2UH5U
wqjPzgxT3o7y5NBm2OYbsu0Ydrf6ucvq7tRW8mu99JdodyH0UFsYS3IlWN23kK6Km7ThMVark9vL
jK3I8zHQRk34NmzqTVa72nk005vEgAGUVcVlZDvvKtdr95yvayaRvP5kTuxKoe+x/ICo7SxqGTQN
uz4D/K65vQH+untZKnVrV93lrICMkO2yWSK5pcuwchckOR6EjfljB0M5JAXGlm2gxxOrsqWHB2YJ
uCgyZXFomU8j39SgXwcpet+xRiJAQWk8fBqc9FPiWMj46pupq6Zj0s7GhhLyzBL9jqFAuYN1taXU
4k0WsM+6oR1x/Cf6Fd4CY088EW2UhU3X7OABKXE3p9rRTfvtMthZUNei9Ch0lvKpNjXaJuM4ujso
Yw+snXcG5DA+EXjj7Bu1xB2DqKEc7DSd5rDyezoCGxEm4ylGVYwxvfxEupx3m0YaD9K1cGvU8cae
5PLoCvMGbXXHvEwYG9nqO9TSwM+x/zPQqAhdtnNn9ilw0ocijF9cUV+1i3HOXPtZCgM82nMnCEjo
3K/Nmruuu8m8RRILMqzwNnVaBiJV6Waph69gNbIg17KPca3F29o0VhudFmQGwIZ8cemVLCDzNmVJ
LyAWC8eWNGSEl940MQt00PaNPQUKAMJ10ZOsoHGmByMdIREfB4ryoZ4b/hA7uRoy8Mq6qrdlO5XN
Ju4cf6ztsyrEudGtANJhwUEsy/sdXZwIR0IPyWARTs0OPdf9BYN+zJmtkXs+Exdw/nkd3risap1f
taKxQHaB+3Ghwi1296CZdtHuCrclKb3RMqJZpIhptZEOwrewqI0+2aWmJ2rDL7lHVqjoOfTarF/0
jBc+tRmQvO4iFF5Lx8L/1oT+n+7X71+qtY3d/p/1H/7M4YJ1Lu7+74//2f7539FLtXa/f/iP7bdO
+G3/0sx3Ly00nX+xhNc/+d/9zb8a57/txOO5+GUnviqZ0L/qw3/7O3/14VHGEv2MDhBRvQ79eNW7
/dWHR+9IYDRrriQ5Q8ex+EMfHlMfvwUzlYMx0NL/6sObf0ibSCOcpzruJGZwf6cPDxjjVRueXFFk
D/xP4shAB/xqwqRYH40wnONrh3OG4CtTsA2NsWEFVm1n88FhugbVKIviNPETqS4jg0C6nEf6pQ3p
AJFWVRgqcAmZJh1rqVnrKuQkn5fGoP9ZJiv/sFDzRcXpJn9KEEZeVO2if0llNHm+AAcCcwA71ryh
Ph3kHnhD9UiP0KGXXXvDcKIYacbLRtnlFgcH3byZ/Zj+r51dKkHEiuhDIq1n7ULvZ5X4DRleLAPl
Aslibj4OvQFwjp3zaA4TNLkZ+cMLPne+hN8mqJ4bxsYWDyJLu2nHySUShhFuWe8cNFSUx6EqUr5C
STkBptH2Rtobm8rwnsZyQgquQdQLimgNH52pzp8mq1UBRRadg3m6iD2RgGSlRBaCLZb4jE1f5YRE
+bDRLLgrpUHZyA5ARokWsiYwwOUsC4KhF+xKiXWC0dbetARf2edRONZn7sh8JhMiDZsH1N3LsWtM
eJpnp4mmbMs0nBS60Z7UvnFVnG8N5nSXFRiTxMzXMwM653JHg6cYRDCacdzJA8ptEIETbTQ19M55
4YhItRWIlonOtB3jrE85KTBPBncP74tm1wBZEGWyjZ9WYPDJjthfHUdtFDr7DwMelru2BZBIeaJN
XyBfqPSrR5X6lYkvISNXRolATNw71Hw7u0ucqvWVEzrv1ZhTYtcFWIyROO2TTbuEG9VkIZPsHEJr
wtlNYh3OboWoiHFJaHbC6RivUX8Pvp4kKa8lh9fNrDLkHxj9T26aVVs4mQRLkK+5J93oWiRquuvs
3kyoyHLiN7yGHB9SHqKT63aOyTCTux0YkKsOeqmz6+XM/I8ISZrdgmH1uTJU/tnoaiGBPLU2Z01C
Hv3OJb3Ej5h60yOGT3dqJS0OU0b5iey4VBC71H+MU3PogqUyrZtV223R+FIRskRTP0epWewYNGn7
QcKQcrjcZY59lPwYMd2WVSfWWsVNoRuFDsu8O/Y+7GQSC+gRstUbLaf9zC6Pw6hbV0kXplRJXW5e
2G66nMpwYa8GprjJ+viZn5H5h07Tq8+jKztuoSr1pn2hO06LhjELP8ZN7KFzXYY9x05zmwEpO/XC
UY9pu1wBdrVu1zf7OiTvZ+PokqFGLS6XlK07TlQHBBLoyIp0owUllf61QrV/XVlZ9D5SyXJuahOB
65DlhzZnU50TO9qn6ZDtw4QAOtpu7RdjRM6r7Ma7j0wN6Q25wBdu5rxbDJ0UhZSREc2gi2wZrAta
jxq4m3Z8suoKhk8KX4jWoDQ+QDihFd7PSxVh+dLlHWqPHhpPK79qjkv53nE3dtkC567v8s+o0zxm
aqh+Nlo/156fDbZ5r+QIC5fmZ/XZdOfogeYCyJcqa6xPVMvJvmQUxL+htGPu5kYgYRj6dT+Q0a7T
RMsmxjlumqbbcEinnSwj9zBZCJlHRSCH39scqzsrAmfo9F1yFl7cP3TxenLh/jy0U33La02DyZgv
vDHWAisLvQMIYwXtUtbOyW20xGPmkbtfwGjFN17uJjDrq/KLk+geELQZOpEqcCwREWPq1NmCmJj0
risa98hkddpkvN33QqtU4YtxNuhKyjAYO85qOgTDebKY3jhOnVyl+cDK3uvyIyg1tE1xz7B2BI6x
mbBGfbCIENxIAkzuiH9IAtNpxieKdqA9Mq0ujVxhMh2c6bM2lfSQDdl9jSgEg8yq4XoSaEumlyHf
GwxLrheReNcDWLObGXrLTuTMaw0O/mf0yfrKLluyoK0xXO4q4mG3EF/0Zxcl0sbEan6XQtvtaBfH
jFfTXvPBgUVfqQb0QzmQgSeNbtEw2zYe5uUxD+JuHmzfjeJxUxLrc3RHWhiOO9iXRr1EkG81uTMj
YTxGtafA7ljxqQIbfFODFdp0tT5wZ714fgE11t2jH6/TgOzfeNMCdK85Wa7gpqm2fSEG47iAju0D
06hfioIJh5gqD+W6UV0yckgDTdbNxVJW420O2Q/ZindZM6ZKfEYzcXiUwKsuY10Q+WjU6ce8HYyH
FBHhpaNcRnejgD6s2bF3Z3oTZbLbTcdqChPTr0JzRaMl+jUBRtlT4VX1U+SWzQ3lYvhOZWFy7idg
QfHoLo+Q4WYSPqp0D2V0BrYLJExH+hZvTD5tFUydoXfHMl/gBUZO/2iiZifqymzLjZZQTtqWSdiq
Hus3detQBjluWJ1KmDAdFSjpy1Y6F2SgNsLYAq+S3MdufG9O1H3WwFCKIQwTWuYqy0kkwv6MTVXX
giosE7IW45HTtO49zYvFJMRc2OjdUoc/3EZtsrMxTV84iVIPoTMwStWshlImCglrBL03XfTEQu9a
hbXgT1fE//Sx9zL53FRt9bX78aD77fD6X6fg/0WHY2lhOfnV4fjdS4Mnv/tepPLX3/nrcEyYiOlI
QjwYl6Dat9bD6b9yRpCb4EPSV5EZx+MfRCrWH/zCqpN20J+ZqxLlP0Uqxh/ISQipN5FLCSy/fyto
ZD36fqdQwd9irQEg/IRchBft1dHYFUO/JJVrHWhgMS6PKcLSCAbnd/fk5s9/7z+QJtwgVe7af/5j
FTB+dxX6XgK5PCZVvIWAh15npIc9czRZRSGoevwBSFE9FvcprBifk8MGyEQeyXnNmk210OP69bXX
5/XTxakA3DW3HlvIa58shnWa/ZnrHSI0NNnOadCnDJPgupae3aXCqJ5hxSnPb8tEbtplTl4mVOPs
+I0tNznySyCUabLvBngustbqE0n28TV53qUWpDmZy+BF1bYlg/Gyb53wrgAsuPk3PgTlE/QfWri8
SOsd/k4iqjemkgRNewc6bcYWJMmyo+di4o8c58da6uQ0icyRW60g/kjok/pAmhJpSxVR3+RzetON
XRrTTdUyuNCHJdnTqSLWy83yI8iYbIeWVzwUSd/t5nIhKop+TrL/9Wf4SefHS4CgcjVvwcb5yebZ
EovVz0Qm4FJS46bRl9yfhmYm3Cn9+usrofv66Ykj4AUXg3TaQsv7482yBrYkJbjSAJDpwPLOw7Pd
+oTAqb7Vraj4u54xPhm2aLSrvOI/C+sN0ZZloeVcL0qaW1aU1l9grv/GifPG/QPbsSrXIEERo/JK
TOY1LBc5lPVDY4zJHkXHVwUV95C17sOvb9+31JdXX1dwHSCg+OIR1/J6UUg5C3gj7+DBIA39uDit
QQOUd2aeeXBzIYFQAb9ocdB32d08WO4FxocMqYEI72IS3c6FZdW3yJihadsD+lhFm27wBwHYOsqJ
5qryct4nvJuPQ+QA05JMwzWSZ8aF43TERSZl0sx0DVqiaKGewLwnh19/yD+9pT98SlzscL0s6CSu
7XnWqsr+7isV0qrs44U01hGur0+FOx6dKGyPqBpwwGWtwZm8+jrljbaxMnqvvLzpIS/wqw1CdbuM
UI8rRZOUpDOC4UhQ15+EkSVXljebHx0MzZzW7W0jRuNeeOAVaFbndHftMH+gqiESHXnfphvi6TGO
SmNTRsm8B2Ek0iH6yHJGPE5nWddRb1iw/qvqzO4SH8igMLYyspODBs0UYmFSbGMD+WorK/ehCS1S
FrS02JSijjtidcLPBN7ZQdFm0RE3wXCtGJsTYbQ45kXh1vl+CFdB9WCYgY0WKbB7m9lWJ6LqkDVV
9q5r18qxJI25mLVry1PzF3I/GeLlMVlwWSf3Vgju00/tGO5xpuyN5iwA7GKpPwDOKZ7QFmVflYgr
ciN0+KvBWoxSHFS69Ksynt47bpltnIJMGcvz8mM6p9PFwsz42iYVftO5SckBskiI/+zK+hP5p9az
XiPOmcjjjcPsRcs09xIhgQYmMom2mtOcisLmp7ZFvc0M7zgNWnlVhYqG/1SOnR81HH9hf+wZgF2s
93NDw4KWhudqPuGriKcK+cGKbWrbKdaPUVYUF2ao5kctzzpCFMlYvMKAGeZgbumr6OwvAZMEydjK
c489qezPTWi3Nyn3qTzCsCez12nlQ2buyljxRgwQq/payueqbqpdFpOOK9XkIhIxyuaxnBELVVR4
PBpa6O0EaHKc+10cy1sjLAhgL9Rw7CBVM/ybOpcEEeMLCSvFprGFugV+eZkQEsEUAET0EOX9pg//
H3tnshy3kbbrW+kbgCORmLcAamRxpkhRGwQlypiHxAxc/f+AtvtYch87et8LOyyHyKpCJRJfvmO+
2TD7IWiFOAP5Y6CNTahMb45Jgo+v4Zi/JLSBHJO+Fw+Rvi7gLDb9y/mbLKsqhAtldM9s77lHNL03
2la/OPMwnSsr93xotzkohRH7Q6Y0UrVJHHbILmaLGqZA34gUM6vnK40y4EMOgBxAnUSv0GYLb2aO
9gkevyDJtxDpVqiRxTVOTshjKN+nsWtXYTalaUhfrTy0Hcora4Vz7bWaMOXZWt6yqRP3A1kGrl8t
AIC+kFlzuyLiZpvqdHW1LLp5Sqq5OOpGKkD7uF1sbalpX/EUnSgEZ06SoGM0Bf7aJ+idRFZ9a0cz
/pxF+vBuE5j+2Rjb6Vy67njKR6SLY9yQeAz3d0DSEwVWJMbToHN/EZwMX4D3LKaMOnM6/VSlnrOV
2CsiyUoRU7qsba0wIzgVGTXJidKmZmdSBhFkyxD5njGkBx3/6iWdAY4qSud9q+aPWzsKrd72rM5e
I/KQBoXloNnkuqgOty2lOMuvY99O9Y1Y4iLE9zuSUrgIv61lDnSFmSONeXLoK8J3KYZmJ0ZKjPjE
7dmxe7mbsALDQorlau1F97J6k3lLcKO4WVJBRnIe9XbiC2Ty39G6oT2kyx3RadZ+S5w53kM4Oc9J
2lfoER39SRPMF0XdJLc5gQ1BRE4dz4tpI7q8jHcH7U+akC4YZuhufShiU33O0J+FuSBpLdWYCzUL
lWSRU+8wmSrfk+M7PNd9V5xUih74o0e1yEz2npYPqRrGLxta7Lx6Ju9rMZobIyE53ulanlyT4eiB
jYU6zOotyrYd+eS0u9x6opxCazDkTpGLt8PYF9+u9BvAx5srPyO9onuJiZuCNzR4J/ngicM4kuMT
abYe+72BZxWYJbN2hpdYtzobAyriLj00vVyPsLh0uTsIQphVrKCJkD8xR7bn0Wa96kay/MoMPD6n
Y8u+ThfxOQPqKzgym/KgU/RyiCrNuurbWntYeIEk1AqevGvkKN42XS1fJmLe4VjtpH8QTsN/kSP2
0AqpQkxD+meE7lddTpmOM6r60CHfnNCRC+PKmsWhV2wK9FsYeLgVpPGGb5e53DxmWbKvKcfe1dDH
eqRJABMMmlY+WeiQxV0bVd6IZCEeD20zLsmBy+/k36DAVXJBjKRGVjP4bz9Xw+KDxQh0drKNLl5U
Wg0769LFfoU+KLmZJ0kv7v98Fb/ZIP6JzZHMMn+ahDa+6Hce6Ddfxc33ry0NMT/SOb/90O8nVs/6
xdDJPsBVwbEJZobf9wedszE9FiTPR2Pmx6n0D1cF9ZeCRFks8AhBiPVkJv/DVSH+G/aGI++P0/zm
w+PIQ0wOMCvQyl/9QYNGsjJFDAZGtTG5pvlcSmAPw1TZUl1GJzWXpkRvDpsKYufiFKe85clyW/vU
rX30WJRutLKRGvK61TP7VradfZkzDw1UT7dbILsC/F8aLbLNNR0+m11Z3rSuo7JwlN6wp1g2vZGz
i/yXWw0J1chGwUjTBWhWjRva0qyAWGK1F6Nb3uW5qO56zHEPXmVDr6dLnD+j0Z/OpobS3p9bu/os
1BRR65Vo0ldu7T0UJO48EDP7TBfOeiLWeUZW48R3trLWB6EX7cMcG9He8Hj7a9TPO20yeiKpoTHm
ycgxdejzjrh0pOlproqnAcnrm+OUpKt2NYni5kprjAJ2viOBOHlRZT5QQ1+T7WPEo9x7iQNdYank
wZptAsGFSVeAJqr50sYTsLTqPpVU0sdAfERQ+yYUSCCMZn2q+iEPhD5/zWlNQJM55qBW2pheVFpl
9F83VveF/mgwa8V3+KnIs/LGncZkr/XJem6prJJ+AkkVFqPrBFmVczzNIi29o3iI+sQivkW2ke3x
qORYMSxIcCb5o5hq8O+EGslK01N0waWNlauclkfOesM+n2ma71EI37rozY6LVNU1WenTBQRvOeK4
Nd4y06jPKCf7R3y3dDqVuZbvqPxFnss45Z5KMLTrVVdir3RHC6uoqO61XhiP/WL2r9iKil8X2Ykn
OQ5pSC9RdVt2lnZjpM4+tkT/mWvVLIGaK+9OdW752WhTiv0ovggrwMXdVOXrARZDww3Szu9q6rpb
vW/qSzb3c+AZI7EJGQuHOmHN877hJBjaQLXM9L62GlUR4C/PdyZw+H3Vjcwxtqf63UIGHH3RNZqV
LlnR2ZlvoxzdqwqJ1YFzZXNjtnocDIwUcEfrQEhCPO9nXaOwcYStuTREh5B70rhHMN/ie1bF2Z0g
Xpg1Fa+3uZU1jZ9ZkfYN0RXjahR3uueryUbd7TrWcFWltsP+RddIChHK1E6Ae6YV1mf0TuKlnZns
bS8Xu8TshuvUaazZrxs13rdavL6qAnbN14pmvmqsNH7yzNy6dZXpw/PFPHGd6o7ghf5BbkN3bhn9
4g8jNmXWZOVsE9Kw+kmPZcTucPX5HcLfyU9dG1Q5y6IT0Ep7shbQZB9bAcorIGtoWbuNyme2kQYg
vliPVazEbqQ0Z5dqjbjmAVpNh2FsyJ9SqbtrcSbdlnEZ37aJKUNb2caXIi283Ofenl+6KHFif3aH
5dG2cyMOGo4luzXTkyOESHke1rHa/NXOFAWjRi3ZvmqgjbLIwOeg0RxU3mhozp4dvVINSgkOLYGp
VMROktJqsZb1e8GxfSNVyvnaWB2KMtLcooAgIyP1OR67zttlQEgRHDdBtEaqZ0RkZZWS+xltBfp3
t5nvZSH0l7aLqiFA/NI2al/YtSXmawIN3Tnli9v6H+UeKD0ut36ixXZjxrShE48RqpzF/hQ7ZdM/
0HEwjFhFSu7289pI/EVB7+LOaEJzlPn02GZz7H4zYwjOCidYISbrUzlmE85Wt0E+uSfusc/eF3h5
PT9g6GhbHlyYBv8HXP/THLA5d/9+Dpj+dXwrmy5J2+9/hq9pd91+8g/4WvxiE1/14a6UIFJ/QNfy
FwvgBLc6HmG0IJv18o9JgPFhy74EVd7GiA/A+49JQP4CAs5fx7T5EY5p/DeTwU/Q9VZDwC+CsgTH
Ae37GRJFxTXHCP3WY74JG4wVylHa8fOfLsp/QK7/ArptL+IxU1kWn/MvqTt9PWqN5+HFH3JJa6XT
rWHi0MJKR16/+/uXYqz6EbXkpYj4Yac0iWKwfo7nqEt2pCwGIpvHlHatIoX5lmgE9Y24LOK0P5Lc
rx3m1TKpl1zqf3j5v1xOlGsApvi9t3g0QKEf4TC8NK412VIds2p6ot31xaVq8e8/4fYrfkTceAkL
lZDHJEcs4U8IJrjLMohIV0dLn55my3hGRUD2IGmM6EHU979/MbDlv76cKTnfmISQfKSR/PiJjFiZ
eF277mhOhjqD4+gNHXpaec4tNuMCh5oZTQona6x6AYmLNtdXND21fpnTXxwyOUFMypiHXJIhAkG6
75XBWI8eysmiiMnZQKZS+VLpzcYWe37LUHlCVmp8ldl0YD/uf61MFxS07YWkotFrAm3xhpKO3sq4
wRAMnwzwEQ5imZ8XFC8XhAJTTObeVvRhEkn3ZFuY4NPFqX2PoPb7KK6tW6uv8gfbQsQ0mkjvh7iP
b4YRYoXtOgprdyB0CSH4Hm5nPfFAuUanOhJ/Vf5qOsVDnZrfEMjcc6akkJHKhHMj5i/xaCLILjOb
gj5+Z4nVOMybVR1yZVHEVOn0jmTTd1QT6uRkyS3RaxrKElQqpgSUYiKzb2Z4lsDT7OgsY+PZ0fTo
nIEIBNCkmytq/A6/6z3NHI7DRc+ym9VT8VNvYw8dXMZIb4xDB5YI20s0EqJfRLtMzMk1appgSBCM
Ri6GWCsGLwCr0PplezTFHo04Gd7CtHa8J+WMbphwPAmkmzqX5qNNpmp0hDjV3Lb2J7NytJckH9vb
qsY9SwnuLJ+IG0Xx06bDEU6BCbptKRGVykquKIhtr+tCWDtK2kg0m7By8bjL7lRdL0E20Q81LoPc
j2khns0awHIZURppSSqH1wHYhHlLLPpFIxj+KU0QAlQpjYSRXZohXbM4qaZU906rxsk4ipL2vlkh
rcu2u0T4ll/JlO6fTGwnRxSe+rU+GzadDKwFdJLpHkB0PlSAlQlSDeRiKfaAzDHmo9ml3r2w4+yg
GU27tSbWd0BSoeyG5TqembkCrynEnkIp9VrbFnNmagMd6LOVHlrPHK7SaMr9aE3su9Tp9tQv14x7
PWF1nh5/yYY8wcZnvRBpeDbLSAHXT/fNkpMlyqleGzPtYOJpueo7jmlpAqI3DvF0r0VUQMkNgtNF
UxwXPAMnq+kA6D6wOhFb9W35geANMeyDTxWSuDcitbx1G9hXcNNc6NjT6KcGCjRmD8ltwdiE0rvK
93mknFB94IfxB5boafRM1RvAGG1Q47yBjm7ek0C2AZFxFE1XM7IV+p6BKe0NsGSUjrj3S6rZTMGh
KRo4GWwQpwGjd15lsjVuGS5QG1AomY4Z5wYwfNtJ3ozIePE24DTeIFSiQsVRjsYXbN8XaiBiOpSF
6XOi496mJKE364F2WGBZnOV9GG1QrXJ1bHtrdq11CiuCioqwUus7CCge6UTki+9G8XiKtBiBjybu
cW7s+w0cpqMg82v6iQ9rzq8ljEh9anXNKdmeJo1ADUDmQdbGW7cBz/UGQXfzHrzMeLKsxgsqPW+r
U+WM3d2gNcYb+7Z7SjdAW+gJR41t3k4SJNvonpv1JvpAwY0NEK91t7iwIa0nffYmn/n9td0AdLlB
6ROqiACyBxG3SC6IMQ7JBryXI4IzP47LyC9KvbrpSvdUjPJTXtJfLiMdbb7bnk1KB3FKa1EYbfA+
FaJEvQH4ryD/ziDNN+p/m6/ZYEBocFz3fGsjC9gS7Nt0IxA8G+LK3kgFw2U8Jnlw+lxzUka81fLK
wgOchyHgBsL9MW/qPa14gRgRCCugL4w1s0OjQCuqQ/hAdFmFcXA2ysOuWM06USjv5UaI5Bs1Qj5R
kLdO9mwlxOQtXgqDoujJIu1hBtQltntXbFTLsJEuhZHCv3B2HjkyutoRk81WuO18c3QDbGH0+N7V
RuO4mesQqUmHfLWRPK00F4w4S3oELYcb28igYaOFahJ+j9ZGFdkpsclUvMZfXGtXbnRSsSRc/o1i
gg0tQwlBz8l7KZ4MN9YDS+hN4Wt9Lh9NmCp7o6z6JTe/zKOd3MB+ry8dzFb9wXFlG901fBBfGwXW
b2SYudFipEFAkMGUVRtlFm3kmb3RaDwfp9O4UWuemgk7vkLWjqw1lEU3/DZX/G/I/8chX9+mxP9/
iMrN9+lf19/n9Fv944T/8WP/Vm9v0B0RGlv+MlrrP6Wo6MID7kO6DQyDGptg4X9P+Yaz4X0GqWtM
Z8hHNlTu9ynf0H8xOE0DEepAdkS2uP/NlG/9NJeKLSeQqZieE0BF7y8NMApp7zrFVXZp0f0vbybS
UlgR0+nNnUjIa2B3nniQLcgK6q7UTrVMsPIFnEOqYz0RlWFr3fLeGvEA6iEaK5g5LK9Xc2U737lL
HRgVx25XRSh8TIoEttxiWsxHDQjFpW8XcbVErVlQw174ECuM77t8KynFQJdqvXM/1gPE9q6xe0Id
Ho2K7I/AnsZevBbGVKR0yZkazowWa1FVnlNXo2vedXjEjIg3V9Rbq5VT0mePnPndx0Q665aUIYhm
4i7HzMI4mtFg3T11LhL3nQt0VYiXVDn9OhyqZnQprusExThXqZ7CZa1CfUs0OmEd1Sx3liwqJ1iX
KeNHScdevxBi5KTXH6vqfzfgP96AHI7/9gasaT39V/DW1kX6k4WCL4sf/eOYbf1iWmRPo5TajtUf
d9rvR20XM4Tczt9oP+xNC4aa5fejtmH/AiKDqsZC7EJvjc39+cdNaPzCX9WxZNBs95sn4w8Lye+n
XtwneFMwn/yHUzDHz5/OUh5FzqjYHERqiM4MZ4s0/pNYwtlUvm0BJgvjnDTUqVIFENJLCQslxxYA
sR8bSjhd4ST4lfFTmadKVh6uvrVDjSgnPEJ7Y53LfFcjSlJgu7WOf5+q51LQSGt072WKkASgn04O
tOA3PHPNU2/iMcQNwZyKL9k4janOHDJlhUZZckHLKpSAe/GSqH6tOrd5bcRKZQ/hHSnFrJXuXnTE
EW+4hPSb0tvSVeoKLs8fauk2B1k4SUv7k7b9iBGVmJ0BXe+k6r3nAUgOH1QjOLz1nTs/EE3nPZep
Pj/QkGqcIlQBEY/x2aG3UVZ5fa7pGnexoDnde+cKnayMMmekThCJ6RXmvgCb8Xy3oEUbiBHhMe83
BLnYvpRxexS6oT9t++CbI0llrmttOBpjYnxaJ3e+q4y6PXaGgA7GGaXfxFLx+RvUKs/Qi/xqpdLN
SOBlZPbACXTvWUuoNLtkLZ9S9LOvTNEIcGaj5a+Zs15flXRdvi0xP8fxkTfAiZx3O+GEv4PJR3Ub
JZwOB8MGSLa9mU9t5rymmxvNa5EJPjvZmyultJMwbmwTQ3YFf35j5Fp2ccdIR+ySYuynjPpkUHQK
CY4bwne07XrivUSCUM6lZoesa/7Pb19oIWIkgHEaec9y2L5hjlbzHV9p1322lxq3ydREix7OOUfs
UHRYMe+1UvIR6iXjtzQj1em+21EaFljFwHWZMo33mMwadkM2dc1CVO/ElCv1pUVqxDZzvrQ2yrR9
Ua4aDuRp/TWJMAL5Yqy8Z/oLH/q1s9DEJQRykE1F1JPssntnND3Th8LWyH0p5VNFOvkrjuZt1ZYs
9BxDfrRfmpjftEaSfzsJrAbvhEUEjTDfIS/hz04/shpk2/HNekaPfs+DUTq5pj6Y14Xj9ARsxB2L
T5NFEkYjjzbfmZr+3SHpJN6JvtFvkklxEzrezBdcN66QAP/x9hjLmmo5V9hC0yD3sLLuRpYoKm1u
y0vd0CdC/HhknLQMqTpicoP3na5DCoWQRzPpH6R4ED0Cgugjguje59nkJatV47sbt3WyeKgMh+0r
cg0sl6U1NK+u3vHLUFEjMKTdYOeYyAiXcfR2jak3rzhbo+ePJZxqDtc375hft5t9E3m/RvY4P0xY
i4ZgkvFyNxO/fleusr4yE6ih/aa+e2b04ML1dWMYQVO4LJjBEfVVUW1is49bYiia9EA6ABePyA++
bMHGwbNRvRK10h6V1ZQcHAdbfzKnOnrWMjGSt9RlSe1nCm1g0TrcnHa9IJ8HRcDEbk0j5/SSjyNS
JJcdTXMffBb3gxAsMM3gJu9y4k3IUjD1p1H2fGqxsoMAUBknJ6m9y0QpHMIm4hF8Qkv5DTWRQeRa
aG6LCd7pEuMuU8jhQo1gdfZTUlpDUTTO0aY+dk9slXex1IxUCJNEi2885/MatDZM+7VbhmRHpg53
mGyxtPirwY5VSrwiD0s342fLBm+XLuggDfwiD1vM6AnZlYZ7TS/4PRguzVOeg51kPVuGAKR76mmd
5AoSgfXQsNAJJUty9ZqLSB09jvmHqE/kk2Ow5m0mpmjvJrRFPHYI7czjPLBFGisfmBZ0VhStvXxR
hdT0p0hgqD3HtUOOmlGVRXKGJcJSLdAXDqakEnmc+JaKNKJhPJVszYQ2s6Yi12SBL/bK19p2mwiM
9F+s8JWuP6mBeirirSbMPy0hNRsJxnrRu95Dv/ChhR25I0osPDdp7SF0LTnzAhs0cbQbvW3lkMlQ
L3jRWn695PjyHuc4X9LEYnXTXvGEa817JqVCz66QybVHrEIQvh9r3pTYBgLR85nJZNjW/+DY+s2Q
jt4zM63D5xTbtofCVvU47Bj39iLt2N/ajl7GIjG29egtnRs0yvWeNWPli/xtS8s6PS3DxplYSkiv
2uGUuR0iKwVa18JBa/qdaXN3UYLI6XiYuLxGMe8/7rhydM3nqepnPZiV1Sb7j521rhPi1afEVc96
ijH/eaLOOH+xYJHToDC3XUqn2vRgJr315mGD22WDKu/1ZJCBG1fvSPa8U9s028NAIXn3aUdnB/aK
Vb+ZVouNDIqKO9it6ejz5ySp9ORWLslyZPsx0NroMd7mxI9J80CRU6/eVVl1fUL4UjRTdw90Vdyv
GeyjSAuH6qxei595lLbM51bJV1QJ7pp8mNlruScxI7PF1L42SdhhQ7X2e12Vz3Wst2cvotNn8hec
EcwhRvskTfdUe9uDiNir4gmCtSEdaXDvYBBFxL07GvtWEUandL2/sYRRX+HNjUkCjJNPKUGASP6q
6ItCK6XJWl064VlBS6WzcDLuAX8o9VKbjn2/nLpkaAjP8kAb7kRi1oHn9S8V5DSlWmqv2Y5315ij
n5UkfkkEEC+LXTQaz4m6hLHE/Veyq+KTNEjuDVfS82XYiIYjvC1Xcs7oRI59W5lZ0NSyPOq6ihMc
Kg1ZXmZu7PNKjh5ReeteDPjiLcIeCfNxpgWZQwUYtl9sckCOHsuSGgE83jOXP/GuesNcb925d85d
5vGYS2cEBLPW4AyY9E8mOf3XGk6Z23TN3bMjI1avjgDLTlw8iG7WbPKwWeJPc4YrolQgUBFgG36n
WfNbYdbZp8UpP5kZeTCXQnXmvcpJbtP6bnIDc229vTsa46/d0npfE7cHWJk8cm9YZDtFkBV5FEtL
SFWGAGBUI8atHkGd2+BdM03EBoPRZddum2TLNdfLfs96t9qvA0KLpaCQNU6nT7QNEDqZOi1l0tMX
9JWBlWbO11jNy0NiLVWoE2OzN3LKTGVvtfed4LKSZmjvrLmcv2GMfdJIlcRG1nXXbpqs9yV9aUHt
DOW+Jh3mEHkjqLOXmrtYdU/KG8DoW5vJCNWmqq/7NWKLIi4mIA+z2cXMDeehbPWz7FoN/WvdnXJv
MC81gmgI4bnajcDvj2RV0emplLvTiFfyM3YsWKEyv0MBA2LunrU11295CCyMfAQl4Fa1TwXZRvcx
6S1GZVRHyYnwADXLzLoQ9DejpTtaOV8YuYHaawf1FILweDgcLbSUpPlhgBAPeZu5l5oE90/YbLXL
UjYYvjTX4ecmZtev/UjNXBhJCaQ5V4q4kr7+nDG+M94N5ZiyvmX+hOzLPZLZpd0I8gsDnrxOmLvm
fnBI4cnqvMRI6DhvWl5+njWVo9ok8SoY27bba4RVko/qoBsk8ng4iIjqOsvNAbCxZ4cr5AhRmEl/
GivrvUlIz5a9jui0EcW2W+mnBSfoW9SSXRBGdTd/ZiLeMV23TIKpqMIlF/muhyd6ihQ7Cjt/S29s
rae+lkrnKDoc0ATQLWEnAQwtBNzTBY0RQHhjDJk3sJGgMaEayRIPpH4V+i62ihZ9tINPI3tIIx2N
gZ6Vmzd57cb4nc0/3icZ6rzV1Rv8uSM5SDGt4q1fo/A5ILHU2JjoVqNMZZieNUA1l8deJG1ypvQk
JA2DE0iidoAW9TWq1zRM8eE+N2R5n1abJCOytfL9SkD0bkgEf8wcjGNw/p+meHZZ4tSgmNo5hT4a
yQQZaLn/RihufIlVeZOMffeyBSZe4Z68tvOKOD2mgcdykOIz4Xo2MnjOLkiPlFqIUrObQaAYJMzz
rCl9lQQtGpmHTskY1IQUARGyT0aQEd1GvTcxzcKe+bAMtfsaqYJNPcqyqVnYvhfhRb6F8RGgNctq
KjxkQT6pH3eamGJS68RgvOJo5am7pZLaZJi5BoW/yB/LKyUQDu/B2Fc9FFbZu6we6bU7a2AGTVqq
pJhkOwYRezR5NqWqKZaz0Nf5YSFQhyJIjyx8NTGWQwM0/2B++kvmtEeCNnz31hwmBLKtTeD2p7Pz
6MWpZsACEOA3YuimcH3oCEDNYVxay7MUNY0lbqO5U29ElS0PqueUqRJOYWk9tw9lpf7Br/KX7HfQ
OZ5epkG5CCQ9G+iP70izlLYO7PgE6Wg88G2o9IceMOG543CO/lrbDi4TPpZ3kzaaUzMyGVYTOaYH
vWUzDbqu2aZnRtI/gSP/AWcwNhjhzwzx9sa25AfbdrHEAfj9+MacUTQwryo5NjYmFIYEpubB96ap
dWaeZ0ZXPWL6d83TUjNwhDOQX34eTTk+DObodX4yTt4zbk3OOZC+TDR6zwFESxl/6dNg8EpjJDJF
VG/T13ZKrzxRtKFGEgtDhdPO5OwA6bz/dpyABJkfhnU7v1ULnvokSokuGrN1vtuewG9plXuXau3c
PPdJymN2/fvLsfmUfrwaBDSaiGAlhC8AzE8+JjjPAq95mh2j2uNdlnVtzC+ruQ7dZ3NZV0W0nccc
W1ewH7ZPJOc/Wbb+w9IlYZvORx0GHXWn3MDZPy3dKbH1epV9fLRmz0VbXHUxSnxPj+SNDkIac0yJ
mkNqpElMfnG0VuCgXXQTV73+5IpBv4ET5TzyX18WWLbNZmmDiP2lX6QyhqhO8KgfK41Dg5qZG3cU
UnOa2dgT3G6SmXkoV8ZqDZ3+69+/+sca/Olb4eXt7R8ObxR5/XhNqsXJh2pcuSZLwSE609UCjdIp
t8z4QpLFItPTmFwMH06knfTt4EYtsZldjaZq5K1pL2O++iLv4+TYb9hLo4C3f+0ii9NvhWjuHy6X
/FkHwU2Fx8m0qaQHQvxL5n2iaypdRkc7GInFHijrtUrO7rAddaqZe4CN37sQLztqj5VcAU/mMmFx
L+mwPs6ezT0XGzqnE2vVcLoUJv/JLce/Z/I2YtKeOVIakkQKfyKYCxfyNMTpsY5BwAJUfmO8iwkP
PK5LyatbEg0okskFHs3lQPD+8e38D4n+ZyR6uzn/hgr6QKLDt/znSH2DSIh/49AeiDI78LbzYoyj
kvEn7bdJyI+QW03DD5IvaCI04VuhkyCxByfkv3Fo0/pli76HKBKSHYT75b8hg8yPSp//d/Nt8iR8
yjbbIe2NLOefRVIQmE1nz468rCjX4/WQdvHSo3mRgiqa7lrrTaCmkkQ2f3StTPmA5Osr6JmNIiTV
j93YaJcIDH23KK3cU/RSw/+v3XUdV8ekNYazq/AemYVnX9VDpT2qirQbQGNEB6m7Rc+U9uPImeNT
5np9BZCM1kFvVO2XHZEdNrEwHOFWfS+BZCvyXyPjkCn0mLxv0ges+Ijn5No2yvYsPbPxExXdT6u6
nbs63J7UPjlC+lF1jeHTCJQHTmGfdRMWfMi9MInV+wBQGw5Z0wXl2GZBa1TLddTG8W7qRciJC+qH
ZFpVdNqO0Urfg0KtB8SxPMFiedAqq3rxljHbdTgXQ5oEdsXc3rb5Yu545vdvSNDBQp0SKMJqIM9L
m9cvye7gSpmcCXBRY09LH3D11WGp00zT5NILpnrZ8j6akW7o7LZdPIHmJ193CEN1nxmMp7GgCTmB
bATfJe1kQmDqj3XRnTmNXSc6sx9z6cNmxtnRA37wyuFIzA8alEKSO4TMKCBoRhAvJ3iaZ3DXyfJs
9eMSjCTA7Ije6MOeWI+wWIY4aC3NhnIfvpYdAqt5RuFU6elV06ZYTYn8qVdnr9EWvydcvQqHnONU
ygjnK8s+emRz9whSAjeXiJbWSHum4qj2OVJa5HCQSmIMBOZJk2RYbSyXk+RZ9ESsLrJ93R1Dx6GH
Dtbe2iOH5dwwCzOsMFr4lhsf5sEm/wcsaefp2ZcGl+uVImwQUIGIUctQ4dC1E8nG8SExBgfinGNL
gYQ4z9RT3dnP7rxeMjk5fkxuy16rONbqYk0OTlO+rVb2hX5x85DVUQvyPVU7ZA7aWUnvuwlqi9XU
s0LWxCYq8O2JJeG2Mf21GfKQOF822Iuc/rgH7tDXwOwK4eu9dVIy078s5qqjceiuZi3/ui7mvJsT
t9llKbyrVQGarhSMI95mLSD8V6GDPe6YrGTRmMkyB6CXKsz19rPW9YjfnDkKydsggq5e1AERibmr
Dc/c21nZ7glk/9Qi5LyuRFLuDfdr7HXiPMeOCqzG1p4o+yHUfbATM3SKNH0oR8Lwq84WwA7JcmhI
O3rCueCGtC3lDyvKwLDr1uuub4s9YUnTjugSe4/rrwwtKZxdNW8uLqmJuxQaeCeQlO942iVbwYAk
6s5AXONk9knnGEvFhjseYWxOvTXKK44mQ6gByn8aEEDsB5fcXQm8EeBxw501lYrYr5px2crEJyo8
hN9rOmbcUa176rycwBsIxCLrpXrMyd6+izhNnXXgEMtnQk7gL+hroxGEoH+wDpvmjSrfGQsFnbzV
4eIgIuQvapeqTosDGZA3gD9fU8QbOCm2XFCFGn3gsR46K9ezgck4OkmBJcUQv85RQqfXRFnaZmfB
v9s/EjV4YrKxKa1zwIRb68GOMrWD4anxf8+YI6fCDk2TXgWpvG8ECj2kUFqwA3fFQG+CyFL9sKTa
d0rjl33REoPUO5d04u932G0ne9nwiaqib0BrA0RuTbhEjAGJY2CFM9M3VZO6E7ugyMi2js7IRFHk
UOWTO/SBLtxlJ9Nahm2lWFKx3V4v0tkPpXzzlEEqf5oZZJR31mMkkzgoHW+35YtS0pKRvKO+jx0Q
nbMuEUGiGeKmgvQsEq3yfVbIcZcvEB04XpsQpYx7xL98Wxfyi213lyw2aXKw5md36kgKIhYsKBbD
Pg0irZ48b3wpIuyQTeN8t5OJGJoIyeMU4/LWhyvH7HGJu/Kc1qgqrbou4HVszEjtXZFEVRgZiRtE
Sv3atqRIpx4p9NY61AfTxFgS4VfYqakvLjBRBCjOrYtMlXikAtVpZyRfPNqonhZzOWKo169We/Om
U9e8790CjMflFav1/9g7k+24kWzZ/sr7AeSCA3A00wCiZRukSIqaYCnVoO/hcABf/zaoUlXlfe/e
WzWvmVZKVFLBCLifY2bb1k8si7NHOgQAaXMIzUZMFFvjbSpEUh56JeXOrOTzpoZFLqyEm6UbzklP
AgFWHal8Fts7rE9mlFad+04d1GcdK3XyFlDAykJeS8r0oKxRH+d6Ng7IRixXqil4GMvp0Uw8sj+O
s33jNAZ0QxyOEpZeFT81sI73Gh/j3GXU02EDPYvUeIPwn+86uGo2dC2ehUqd/WntedZkPRGX2D3x
/M0ukKhx2Bo85bSPrqd6AinQqYDrrbY8JKyboHu2djg7rTgmXv6mp0xitPQ/LeNAIrLb+gGSn7bR
epeyLuNt1bTunNYVB9l4/l44lXnxW+S0BhY4ZLEmPvSsXCIYwURw/iSFWY8vNC7HmDhZuHU0s85o
ek4LP4hMl34dmfYh8efYPPNy1/Huq3wY4X1A3YNH5nn7kGE5loN96qwmm0Tota4Vv9iKKQDj5LL0
A7kLOTQ8velYheWUEamyYvlkOxXrn/cG7P9aX3p7GrwgzBuqEuWOhHxmpAT2237t+/8YPf61WCXo
FXYV//31+qEov6KI/zVW+euLfscqHWg/AoKhhS8KEmXArfvvscrNguW6Ht6PD8MUv/Xb4rH5rLY1
DbdyC1PGP+wdRCwAAHF5xzZCpuLfuVajOv1104DRixu6FWybKmrYIbT8dabtOUPrGWDCxRkNckNQ
+0dWgVjGRx+WQ502ZxkkRr0bcUXhf+pdRafDKKlg8lyLjdFs9DiXw6oKsvhoKFJtn+DLlTc4bbP8
cXRrKJV95r3L1a0vKc+dm1HnVhQYrC8Qi7Pqgk8X42ARQBybcsLubWfg6Ujb5g6Fpl2P1cLHWNNi
naypRaUIKmHwPmULXQRwOdmkjd3ifp70jJyz0PrFXjxLuSw1+MRszFV1GBBsy75Oo5F+VlhZqlMD
4CI5tLAB3VsWuOmYHIyyMp1QmdzSZzQPVoz6vkyZirwDDs61vW+GTatP56H3QsgluROfcDkT4ttD
UDfJFtQY2cAkAkiDGw2LELXp3rfWWGnusryeHYHQSrEKjSH9cJWfJkLmIo2F+U1rGtTXfZFmkn03
u1fJVrjmwUPLhIJKv+xcxS5/i02DHZ5HDotyR09kR/0h2TxnDQt3Stgn98S6UjJw+OKbNf+O6LAM
kkhkBQwomuibdXae5UzJ0SrmuL/3qtE4m9QWPJogIXcrzQQQgB18Z0Nan1PDmI4J9RXcUVyFIjVQ
QTSRi7uKkt4ZN2iXrwAwseRjuaBjfEmjrEHjIgtb3MLus4/N4FQQ+VnfF/XUQSWpG3dHyH17sM+h
p+gSqKq6iTCbJA/SCmgaScs5csmNRc4obS4n4EiolYmvfaWrNxLxY7srYgDbqzG1D2XuvsC2Tq42
ossjFGvvykAwvaeVP0cJy6pL36bzlfdDgzLaZK9cgOPH0moW8H3tFm1XVOnE6FkRPGnvPgiK+DVt
Z/s0p67xYLBg4gbTG8Fh8nr7NobgQn+aka1cMRmdXlFt5Q7PgPvSuaJ+Rr2nu4aNIg3sjKD2HCJT
enNIffZ6rrnaurtgpK5DcWc66xkysi6L5NVuG/smWAEf7kQr9SeWcgyTfktxGCNKX/4U2nHJ5nkr
ah3qaQ3cpAFNhXXzsc9W79xr+SnHAz/kyrGhUs7ercCCkpAkXct6F/dqesDrY92IeW5OjoN6MeYL
P2tVDv01Ld36tYfOAXbEa/8EiPEmun4Kx9L3L/ykq/3SUm6xDK1/t+JiuoI4SS+A4ftPCVyfzwrV
mv4BPVvf8qY3b4y1RkXrOtu76HIODk7e/iA4E5+ENLs9CE72rTCwn4PCV59NNy/flmLN3mw9ZhuW
1y/eOrydIGX5hLnG2B/ZrFv7wNPjIWtBxTYQTCufey8Cz/JQB7W86Bm8O5tanC+4ugPjQeQcmKvE
rLlj55E91nE+kwNo5z5syAjwLmadm0p/LnfZaAwR/TzLvtGqDXVMZJnXZQQMSZVzYpgMxIO+NGZQ
R+AkrVfHM+yH0ehfsrV/zlvD+z5LMMNcN7c8LnK6h4LRroyGfe7cVKSfb82Rid/NhzjysuQcOIN3
t+i+46OhhucVtmaE06P55ioSnq1em0eueuufHXv3bicMQrZBpVswqonzkqSUHLkdFQKM0h3s8jVI
7ljnqPcRwngNvjLEoUZ9Q8GMHuZzf1FZm3zlzpj9KPUGCp+6W0tR2CZdPUfppABTst4+2VSmw+HW
erm15taPHIDoFGEwH/GJc1LzXuBBOfSNMFCWTL+5FnjO0HVGwVp9E+WnIcM3hFUKt0Za6Xw+WaRy
nxq9rQ2LRNvP0xj7fxYaYNZOZZtpAqpVsCf9sjw5RozeiJb3VeGmuwncmEX+Mm6eP7W5phKaEzGs
+SkZA+0gL2/WjIVN9L2HoLnsEmVjMLCR4NA1yahUPhpku+ADNMC83Q8Zo1OgZROO5vyNgpr6STCV
nBMjpmOeNHSY5DjX0UUD0BjOfGuMFo02fkuGtenlz8ZwvmdtZ90KwhIAODvyt2XAFR0ZhQ857EpA
qv5dYBfFLXxJN9/l67cUFAduobLBeDe/NGb/TBKX9YKgvpa5P0bWc9NDRijvaGZrcO1E3+wN1wLu
6Qx6OCUG/T3FlIC/z2Jmn15g/pWM+UhiBz7v33JG76fOGnSYUn3yKfEET5C0by86Z5TtYUKVd7Ih
iCSHerprajM5UV5NFZpbuePRwWtw5Z0LMsoM9GOG/PG9m5lsd1YrSq49jv9KBa9z4TskQQTUFegU
yyEmM1k9VrFBl461NGdBsD00B3OOaDPIbo0eqKpb181xVLOKQPeP7wBO06j0m3o3ecWXcRB/5h0N
SivH4+2kq4Q09qDTRxAizC1DU0TsoS1KgOfhp4AssFdiUc85JNb9h/ul2SrTHXwmEeSG+JkL9HDv
mt541AGblGXI+gfSQrbY52sAIYWYGu6IPjXOGnNCRv+RrCnnM53ySzdrdUi0X3ynx1Hs6ebi5+r7
X1K//NEX2XC2DY570ytI6Uh+FUsv2C2Qy08kNc2zyU48wplqHfB9idu1NfJvQe7D3StT4zjKGkLr
EJfXfCxtlP48O7Rj3tEfCfdHETg82U4zHLyZm5fBQH4srHS6yaoG02I5swGip9KITPTvcAa+s7e9
of42Sp2FfO+fCH1RgrSk7knDcAkzebc6uj3VTlVgxgisQyPkt85sr0r5XB3YzkBjWo88og3o4MZn
AT1jl6aMYVmxcsMoTXdfmM291/ZXz6R9auiOK+s6ZsRCR2ZaP/kkRi4otMmBWm6a0dj87tysxutG
8H9Yy+QQO+WdXRnGUzCAsSpdFZycJUeut6urUdSPyNvpYazoBlvpAQrdcrkGkxIR3I7yOMBBiMYV
VIKTNIyNqSIBM9nUuBie/WCM+Et4tnufRgc6HI0GWGuk+NHFNDAzLlPAjPNghylUcpAVlMwgF101
i+5vWbWgmhu8/ajpObnzVF9dA0JxMAK3nqQSJBBbdZ6rPiADmzD5Zqt/qcblWmbyixN7L/+RKj5q
C/4XqQLJTDBf/Pez1HOjMM3/v1LF377w9zzl/sHaAL2YOLkk47vNLH+fp8DU4JW3UZId75eb/h/p
9MDBI+pjZmf3/1euKggmhinXRjAzBWGX/+KQ/58c85a9yYD/UCokzQYAXDHtC5e6aQSVTZX7J+k0
MNkPxHFn3Dj4pq7kW6r9yk7tXJVrsfdg40VYR60nu3QnSGnOuhfTEpx94acR3kP9aSnc6sYeSHdg
G/TRDUxKf9jp1yHGOVKLwD/2aIhPSWsTxBonemf6EicUjj5VPGpMiWx5tupYHicUMOU0+AwOIO1q
S6w5BfnGzimtZ6B66a5t6aRdwT7cO3oaPlHRhjGIhE20MCl9Nw2Fic5+oTrkp90ywXixui7BMj7l
pECPnaYPhbomVT1l+aqow/SJdHrMj3iWqgLaO8V2eQlMZtGud66Sudrn+ToS8ouDwzgoO4Rhv7pR
wst537uGNeMuomJmmmeS797c2SlUb9AtKzaPvdlSuNfKTt6avX8qS+upNQmQ22Mg7mD339TxXEX5
zO028THqFSnJSaxT8WHEPxfyhmn2fi162IgFfBAGMW6C9JzUYwX2jB5YTxrepcq5XsYNjZHKoad4
thIKFuea2DynKHJzUa7Pnay7SC/pa8Ad/EVX0j3Pjje914K2tpQaA57ZdhPft/0C8qVsiB5CAiTH
a95MdWyvz3XPRUHtM934xjfSDMJbd9gdjPWgWBnhtKlpkQjZIGMUBC7N5MTEjT3Erv37IMG8x+qL
8YI6nqnTx8oaqHHCVnukuwjMSIam/zBX9fhkeKM5wqA3qnSkXG2wJ/p/M3nrFT31gYLyw71RrJSZ
oRBU5Y7xobg3qCdtDYwR84zK1vzaJTV/Wy0VvzZN/EXb3qn9tYXy4nrcdlLbfqr/tasKhibbVlf9
2PS5vsZjUR3rjgLE5IExhjrIQxCnplqPztr2I6fFB1uE1ipAI8b0QR0BS1PCILGSDyKJ+TdASeF+
8Ep0hi2jO7BUBGUiNqoJptP5qj9QJ8sH9gTRDwRKsdFQsg8wiqEI7eOFhpeSfqBTrA+MyrgRVYoP
uEoddN/lmnRr1DDFP9Uc4tAhoSMBv8Ex9xr/ArXkiyVCWj9oxZq0Ox3KD6yL6lIOGFwn9WXZuC/N
RoBhOgMGwxZ7ee4/EDHcJ+a34gMcAyPU/tJtNBnqDJOHbiPMuBtrhkBNG7ofABq+AfNuNYct1Qmf
Zt5INdnGrHGHvn5lM4/JzPuA2nDMArgRgFTAEEC9STf+jd96oHDksGFxkhFCDrbhEQfCxs0ZPxA6
udxwOuIj6bsxdtRG2+k27o4HgCcVk3wIwJJ+ij/oPB+gnm5j9vznQPxXDkSL1d7/uFx8/FHXW8PH
1zr764Lx1xf+zpA50FVIZ3lso2Ae86u/H4i++QeYb8FB5FpkKOmR+vuC0bH+4D+5BBV+7yX/sWQM
/sC2xokofAHAnOzZv3UifuA9/ulEBNjiOERGYTo6QEYAt/z1RCwre1ir1kQx9OpiidRWUk1P5VaY
ElMTsCUYhM0OkYj2QY9uF+x4pPVnrvjCPKwdIc8wLU0aFrthLGWUoqpCbAV3SKvft5ax8kG77nLD
ptCMnIxhdEcvO02ClTEMeBEXJ1qp7WY3YA/C2KME4Wtm6GWtgKFyPW4jIhuQpeeT26X3uGlMrovr
+hJbW0G5Q1ps3wdAY/csgrtnskqcCWYXdEiNs+l9XXMb7Gwh0IN3jWvDj+X+XUQ8uOKIhupTRsHr
D0OI5Jtejexu5ms+y6XJFWvQwLlNqzLOsb4OJh9mO+BjrGSCWdXQ8hHvVXkzQX97yJp0vJv0gOsg
ztcwNrlr75pxmve+ZoGae0k+cUTRDjMz1NDe62LIZy3L8qClUn4qpf3i97zMAAJw2ipwn5faBSlQ
A05H2eySvRXwyjuZIy56DarH0bDdw+iu1RVid/OYK79/oEjYscC405nCQrkNc3+Nw0Kn3sHiLjSG
iDF3tScSc794LpuUHpJIHtbSfCNMPN6qxvk8yGR8FkTn/aPPPYBcOMGiFtuwXxwpULVf57KwDiT8
/SMxDW4v0xrHd9jJYIfYJhvRpl7vpJyGJzhZfr533VhebNozfg4GNUpOJZ686bEKyjoawIceqTR5
dBSJeURny97ca+p9W4+9EBiZH6Yhl2FQAT8Z/DGU4OCQaMbqaEONveC9g1vZ5vUVtJtzR/z+LWMX
F+E3LaLFVQud2kn8vCjZ0UItq5MGsGY2YqTVPc+fYtWZD8oYvCgmQnVOXAooc9vfU2bLyK7MJorX
psowizTxKQ9iyfFfFT8xPX4TcWAcGod0GWizUjzxJk92AygvwIai2hGwoWEDbA8VJ5aDpC6vDe+2
EOX7BqRGuqv8DiBzOnxeCVfu1pkS0NRyxU4uPt/lkMowUfBWhBIZPJzU+IzbLjm3Zdo9ybJt7xYu
2BePxAkYt3TZ92KeyIj05PymjvcNb1u9m93FOrYLfBZVp1z0TId9devilvAFjrZFjxJabuY0ydF1
qiURLz7w1+wA+0ej2kqxOq6Kcp0mqf+kXapSWwDBFFU+W1Yh9bNE2od4JMkKiFdBm1C+N2We3bi9
6V1JksTp2+ysQHKVyEv7UAcNjlbqmRf+/1N2DynJegtYrpq7ku7WKeyRXIHWiMaQn6F51PlZb5Hx
XcmqnH8NQSSnPoJb7afnKcsc/TwCVmHfkSRGbtOJbk75e1GM/VpH61TU3NlSObCmaGkfjKbBmnmy
qSxJ3iuRJVtNrMj4+RhNxdsTnwzH97IKYgUimzfRWi8e9EP0en/fVfZYJPDqfeddNaCqv3lFIAr3
ndcoUPTJq7G5ANi1WQDXcTFy9avduDjnJrWCNYwQNcaf6kK5oB07G4qrNfbstEldzfv/nNT/ykm9
TaDMef/b6Pr/y3v/7Ut/n9X+H5K/ynPdj0lzU/Z+x73tP2wseP+s+f2WAuUf2xwJwRrqmYOE9Q+X
nW3RsudDZmXnxIltQ2P4N2ZXiFx/nV0dct6mNB28x3wfAof/X09qlVlF3edZA4rME3ofwKjSIT2S
wTGFUnCgSsJRIXRI/xpkNv5eK6uzez67TTRBMvUjjHQE8uLMfkMkWB4b16qfp8GNvwBAI9GLPbYl
ELLKU9tvftdtlL4B+YwHrqibOdQzsy/lmzPolRTh0r71S7agHK0MKaUjbUiKXdntuyBL6IBdFo2Z
gS3qzCcyp025YtlNGnpxDoUxOA+pyOfHIo0disXnydibnWFf+nipGS5dWeeRYadwuKd5wPLQLO6d
BY6pDUeLdKyqbJtz0LfPwUxghCbnbno3K76pqKvi8Qf/FzHtekqZRRgrerdQbLos5S8ul19h3jmu
3R5lbmwKoJJanjITl+OehE/1M+MHfpIxIUOe3aRHxZrF31dXdjBsyRi9tStRE9jZ8/DmoD+81ZrG
EgiamG7mLH3QKq4/tYPfPIwDTUY3DAKJZNdqEftgzoAMXlaliAG0djz+1rT1r5R0LvvObXkhaWtg
vjXtDD+Ik88eVdVr+0Ukvv8Ylxjvd0hTpohiLJk1sG/dHDy/GrCneGfm8vaBAtngUcIXRGYFJXwa
eP0OU9MFtzx9WRqm6ZaVYQM5pxPZepqTmmeCav7VILF3j1mrCvGvSKh2+MequCcb2hTEa5GkLkZJ
0HZWXvNQ9B2+5JWTY+96ubiwE9dUfBfKiTJpyeG0GtXIv5muOrvOuj/1WnXvPQH/N26ajk0fPa6+
UCYQw4VRgfAc05EyLL0E17nlMbwsTvBsUd95pb2VyT6YEfpCCbuJS+mARxnCFGmo1NBf6SVHwhhE
cNu2tpcc1GLCv5rzOjuB4x7Xs1IMsMcsVsatRbJHh9ryKtKfxG7Yp3B9G8+p5EzbJbpVTx5NmugE
9kwU0DeEvRO9677U3FPv0l+hF/sjAUO32haHcT+yMQlkKcySxt9iMx8ZmuUjT9Nt0RrjI2UD4onE
TfGRvnF+RXFw9PqHhC4bIjpxAzztMn5kd8qPHA+EExI8+A0oe615+3z24sR4RpwaQquI77yqYiG9
RYNSMkLxFhailJzcUP4rRGT9ihQllenR67dFjaRtslBeSSOZWxAp3iJJ5hZOGm0Tfvua6NcMbSUy
grS5I3rdYUhlnbQFnPBlWu7Oyy1B2TbvoVdudgmmH5dgVL1FpJoeYwuXY7tqwaQQosq2OBUQXuT7
0RrIWNV8D6fFzBiLJ2WpaBnnmfoBMz9T7iajJaifmtW/HZHizjmyARJPM190RlmwB/9074wppqVm
PtLpZbAL4EmDxSukses4+7jJlswSO6YH7x6t9xlCANy6RB/9MZevou8XVihK7dZFNQ/aN5+EbXNZ
7ld+bANxucTBejmVCFk+KZcDmYqQ22d9Y9bt8CNfvHtzteJ3OEoaQ1FXPtfu5D/kUzMgrsOtdWhF
e6QQ1D50W4pFZ5geHXe9zzof4JPD7TtNh/KwCETo2eCrRLFsbWR905K6W9+bGGWS9OcDO5e7UVNe
gFlgCkGm9ccurvtD7hrmHbKRfnAHJPZsaP4MeNoeqRH291m8xAes5tzmYzmEjQAYSR0D0eFpMrYe
SHGzlMRMlZd8aTJriBKBj7HwyFaC0m52JaugN7Bz+mRWyfgC13jkjaGNY9LPP1XvlseFAOd+7Ill
TcKKv9iFNKhM2LAgbu5UNBP5lnmmpUQX2JMdeVPDsDgEAU6DXYu14diqwrn4FF+Gs2F4V9WmAZ4w
jqa8Aso/soflXeGuHr3cHWsyshhZvve7bNs/dfFr0Ek+srKKMfuqFEShT+lIUzQIySzKPrdEEw9C
TfRyZpZ/qIiYHxuK4t5bHZtv6EwGixuAJ42u13uMGg1uOt2fKrvyrza/cYd73XjA1/XqEbswQxGQ
CU6G1b3nqiaocpzHQlzknCe3QVH5wS6pZUcIOlNeWFh2g7fbxXjgaKRHCUYunCxh39uopwy76dxT
eE7giY5tH1OwV1DqTBVE36KtddhyXsfWHPBPDGwuM4WYbNr9ZvJsrjOVD/d2XtSRD5XPVSVvA0cf
zNkawlmk22jYx7tpcIxzj2z/w8bT8YPoKlEO8uuE9scY12pPuOVSe5zY0P87UMwyEy8NkOCnFJ3/
O2TkZN8yMN92sfXFCNTPLKuTz+wswLAttRkOjnypHWkQlB2K0LKLrTSIeOC6dPFL0jvH2c6/xK76
5ludPK4NO+41xhNkZ8vnhfV5RC2KhQW7/9pVsO4m2zwXWA0YXKz2R0JnHlQMo4lIKuSnyWK/GlqY
mfegY8VjSbhxXwy6uNbCva8TiiyqtVf7arSQA60EqS/Uaa9p+hLVer/FDkgaDN8pj/20NBFXKe4X
mA/FTtsTcU/gDhG1IIi/9FATmJTddpnp/HB0IKXPnHJ7inCyr1ZRfDIsF/sL+LkvqeURncl870cv
evZw4icISozaGYlXw3uvCdejQYKXmAvTuwRLvN62psLPY0NyTNaWAld1AS8e8+xs2z1QqSLyk4kS
3HmpzvbUwsBGr8td8ZLppbgtec+jCuJ6FP0QHK18TEOomUdKatpLM87PzpoOB8rDaxw7G4YzX7+P
3D/D0VbNc+wzEGZofhj1K3vBfU/zpXQbts31UB3oqqx2veF/ixPrMxH1+N3spP0AZoi4pS+Rukfe
V/JbZVXiDHtk2LeUq97QG9rcqM764VU65F7wnYAd9eo0jragdAZ98ls2JYPTOvusY9ky+W565Mbi
PQljSaK01PnB5Pb4YNVe/NhTztjzQ6eDGJ6DeZ8ugxOS1uMtKvwkWtIZR7HIxb3d5i8zDUZP8Zyq
I2ZLySLGqpsnlaomzAdWAjRhSrxIpBlmLAXd4EaDu76O8Cu2y2Yn6ofGG5PQ0cGN1TY/wZhj7WSl
nhrmQ6yHh7VkNE3HIewxEudt9aUvoauvw/xJD+qxFSOOkvqO2xqecXeFUDgSUadPs+AOSK4BQixO
FqqXpkjamQSU6jnyts59/9atOgjbxHOtxYOPRpZ6fbT6urj5z+D3Lw1+RP3+R83y7ccw/p/XrE+Y
dP6yoyVetX3l77nPo7yRoY9M1MectsG8fg9+wLExt/nk9Ihbmh9uz9+ipfmHS30kuSqPHkkqNpjX
fhtBvT+ognTJFW/xK5I0wb8z+bk+g+c/q5Zoptu6l9gpG1quhv81gJssji6phErPQwXDofFr7Hc1
18MbGxJMVDoj7scCONYTK9TdUiUw8bI5o4VX6FOR9gYtwLHyDv0Y9M+Bz58JwGi+ZtAcjmSrN/qp
CjZmJXRitlxjEc5FKs9DDJrnoHIVQ0YwHI1Dzpel3DmFdKMpoJZIttV86rCh1MTiGbiWpId27Ccv
PBC4D0+ScEbg5mTU9asYypjEEaj6lxV9g49juRyyyTCj0cnVNdGNuIxNzZQGinjLGxklTUlGzNIL
RM4tX8Klku0S1dCNcc3iNh+idM71qbdhOKx6qXczNK437NXTTW6byydgqPYBu3b6aAWDyxN/3f7l
pDWGvVW5JPRZTR1cT1IvnOqlek5SST7IntmcDvy2Z3bihrrpF+4ZcpMtpzvfWaBhlGNo0EgbJdzt
WfxlzvhctLn3GDcCFLTDZMGmGeIQ8AnFv7j0jTUKVBxQxzCBQmgnsXOx4UZ8z0VkDyPV3w0EY8vw
PPoP7DdVFO1JMMB5Dks8odIH0hfTGFkL1pLIQw8KHamdXV0mq0PlVj+BTqldVEQ4PDzyx1MAYObF
GaiB2tF7LfbGZBHVyhebB/9QS34eUt3i8DmNufnORV3yGMfDQpfUa1wv5iXQ/QueUYdR0Ky/sOJf
LiJtPcJ86OCygKcrRsl+LEmeBgfzazR5RCgAWXT3ZU0ggVe5Sr1dWzUuVXmD+1jYQGMNGO3vcR9b
VwJ++V4mLuLz2v4YLTshg7Ks7j7usuRx1flwmQOy4LkLKIPaFWZXzs5SuOzsayO+Cnv8nAxNHUrU
szMP2Di5IWpXTtc5SJruK9G74YupO64yTBJXt2rlzVag+lxQcx8BJ1a3EoOcG45TxUum26q/Y8D6
oiGE3RutZewtbf5w6uqLpzWX9QpRGWqqo3YlKZ0H7uliiKp+8d9h0KhPq7EdRVNc7l0AwSpcK6Wq
k+komR9iF7ExLGutv6TJ2pgRdqmM2wrnFIGPvEcO4ae8lx7YlGyrDQFduZL4osj4tu2g+XPRW+Lr
1FqPWor3dQjezV7tetMO9r1nVu0pcDN4wY6Xdv1xQqw9monlvsEl+kQK/IeJn5DRxyvbfc9t6CQZ
CfyHtMT0CAgwYxPqWqeEZ84TfwOkG3tI7wfiJkSt9XkWNbuFxnXSOVTJoK27IRjW5OjHIK5C1bfv
VWYwNPeAZ/mWhgPU4/iRCzWdcV3BphpyDKRbdz4oMzgy+KfwrNapu1qrxa5bxQIVGQE2v2GDi1k5
G+jm2M1sTu8GIjV7z27Sc1rFYt+1tNq7HpYrAVPjDcD6InfjegM20yDeOKTHAqAzCG/LOMiYUScw
F32oHWA9CZrFZ7j2S1Qx4dxAID84+Ap2G7VOAaZzih1EFXlFPyoIynO7RRyhPH2i/y4HK37JCxvV
Wan2OMHwDidRJXd6YjMUqnwL8gAiP8vR7+9m7jeQm6JUlTe41ZOoKgdC6BmOqf1s2NUhb2/cZf7M
DsONmn6wzjMX5b3kT92U0mzuRGl31Hk5BiNDh85t0oEmbe+Mg9znSdV3Vzvo7U++JAjnkkCLUino
pl7adTnGRtyQXSuL4n3dGCjO7IFldwSzWT99AcSMqXZSGOixyfUH1E8G0XW6L9dk+UnjJr7QyfMO
hGGRriizVsc5Hr45YKsjSNp0qaQutHkSveocV0sZNuQZb7NSfeFgcREGy+lUr/QnYTJtjHU3tlpj
Ba6y8RtkO7uEOecNt2DJsWsn4jlBLsXVWoFHNT2s8bWfH+ker3bpClMRXt4O2dRH/moWLpcG6b6+
xtK3bHs3IJdnVxN2dD3fvHFHXPmc2P5hIBZ0q9jfQJH1sv1slU/xdl3zhsQ76jYA2B332U+VsQEA
XuM7O9pSnFCLqYwC2+rOXcAIQdFy0UXmbD/2tCCwmrQgzPARvUvbJLvPuGKGBUyoEEhsEEmMDBeQ
dvFBq+5mrqqOpOI8fJdNP4dJ1QJbKcv2drSpYVyVk577NfiTiHJ1TiSGzgCFTxX6z6oikmmKReA+
57jBg3r2+yE5KV3aURX79xMVrnR+MlJWBG99Ncmrhu546PHYJkv+pMzBuOo0f5x5XS/xLC0+jeV9
4lXrYSa+wdGYYUwFtDK4xGsHGuuhzdU7ORHh66l9e4Fwsuy04nV96tBJ3Muaj4u6wzWaNGiPK9Yc
60MaGU17YUEHpA/RxK39leKgOGjX5yozA+Oz/pBaMs/zVzaBKDDmLzUG831JoNQbhVhONAk9S693
czbDK1eZAT/r/UQSlbeVZOWGSSJvcEL01Y+lAX+/w43SPViNZaRRC8/uzW7V/FY15nzxxlwwldTD
sVsMTUq28mY3FEsxXSgk0Dz6y5rXYEpHyPYmdq6KJ6ZPZuLrkvs5ZRIqv1B8rWwQCF715K8qu1Rm
NURkhfaMzPqwWH7yvbOUgQcS0XdY/O6Aw0ccbPYtQO1qHq9FZ/MCsdGZD6mZJK/4pNrIy5G/+rZg
RAkq2zll/epM2MsYYHSjhGbcs1dNkK21b/pWVel+pPaHVLe1KGoZObnMAzIbA76/pD4lWx45j7WA
zbcMsEuj1R8mdTbTRd3QO2XQkNuRRDBjU+ExtZ3gQRC4HsNmXLvswKALdc+nRiMixIxKimXlnQRs
Cq4lN/Orn/bdE3QxbOWBu2SskAJ5HFhCHwCyuKdVpPO06wqy7OCWew+UUr+Mb2UQBFGMZnhb5X4l
dyU62+fVzggND/Joj4ishLVHPOB+Dea9K7IYodcmkM7Onb0onIC9PRsY3BYXgCU3oI4ZFNjtGaXb
fGN/klOGhGaKImrjK24Xp554u4wmq7Nx/MzDe2UtNIAFCMSfDlZgPtjSZH/OfavDDE2Dxy7oievq
Uf1f7s5lOW0lCMOv4srelO4yi6TqmOAYOziJ45wkK5cCMsgISUjiIj/9+XQjDBc78WhBHe0MuNXT
M9Mz0/P334/ZeTw3tU7KtTkVnKzx9FMwo6hbx5qM593UHPdJ8CBotZymH5dz2+xBoBZlnQCi3y+J
H88n3cQM/A8GFwddWAJ0yDoSCM/8wMiGq/sz8j7Zc3+jDpN9fW+MA6uT03vARsfW7P39SB21+1My
7TscBX+kgC6+Z9SEPLdGpgFIiWKV2spUerGWPQF7A+f2U48MYtXQ58ZwaNv4AdK4+z4M+a5GCYYO
KaGqgz/1rrzlKeho2LJ+LCj0lpEQPrVJnOS+g0K9RC1BF5HAnQWpfgu4Q+esvARsC19Kd2Jwd9Re
USjEXC0W10/2Ykn8bbS8TQChwW+9XHUeSbc+DwFYOUTMSDbWwtC4UL2QaH2kRnF3pi1Sbv1XZCDd
pzMQ8mRxawvFHmoUNv8Ywe50c0aO5NdoSQ5eB3/++ACzaHLXDhT/x0hV/NF78MHtqzAb3V951KK6
UqL72YXNeL1WZiML0v+UiL0ShT3tiRSV0yeIXFTbiLoZUAb2/gCjTfOe2rx2Op7gmqfBxdICZgwZ
cdBbKezFI25J7mBJ0i9OlbibRjPwGqN4fP74OF3cPEJkc42TWEBNM2ay2Iucmh/Pp09irzM+nUXd
SV5+JSO/HcTaIpudh9OEuR5DHRN57FHITZuxgUr9wXhimU+XZKYsiYDMrYdFGi6H1pTkg07kt1f9
haat9ItlbIQX/6/zf8UTk1e97Bbn+i9zN85uXWga0zV8N//2c+gF6V34uh/Vd6v7BVXlNksU9ACW
kDTXYOSFgUDCnzPmCxfJhUqFvs9J8J3US+dD9+0bvd0yqUdjg2KGfYUHDJkPFUn1NYUBW4rKeR7m
BJwjT/nCDRMdMsLz7Sut+fxvhBY4wylVUDwYFrxBumkDPadw+TMrbMn4bQXDbpGighmIjRQPOOtN
K6ga2DcT8JrCfXv+lC88IiuAu7OkraBBs9PWgNeBkc6frbFgmy3iUApb7WosQKzG4DsiK+hQvv3h
jDg8FkBA6hAM6xZVI4pHHAtnABrB/psmlS5qKx2XFSiWsRNnPOAXDltBaakaKRaARA5ZgdfA73RG
jb7KSsdlBQhv5WeEzoyAIwmg5bqVu36BWgamgcc4rvarKrT3kn5RA2HESFcJApYPLmaz/WdaC0Cu
bnDXdaRzQddhGpO0gm5SBgNeg7xAZPFgVsEKVgsaTCCPEC8Uz9GtDhA8a6WzLqt1rPccuzuFgx6B
nQLkjTZUDOZeK6iq2iKEUVUQOa65gLOGgw6dJJpvtzQSxKy22l538uYgIMBDkVMoEkH3HadDJFVH
3c4Q+OtlgToysPZB7FA1kqsn0QqsnqyMhLLKWXdEmwNy8qTnwFmLOq0mqMbfM11ovmICyYTl1CoN
fUStJ7dQl3aEuAB2wWAjq63RTu9b9L5JEdXKU/6FI/wDU63PXp2x5w+LU5fnJvsOZ4d+UDuA3e+r
s0Zv+PaNtgF8LX6YH8LKd7vra953gp8s9sAbX9Z74s1/rxq4++q9StUfXnpu7MQDcPHFqys1b5wp
Z7d/fOeXI7IFcTph5P3W5O0bQc8NH/iC4GTi1HJym6iKAXxXWi4UIqFYwUptG4xKecETJ0icpJZU
qEzGdv333mTi9XLwnCk6ju89hPHWfXy5nshq3Qn9MHaGQlm90knJSw4Cd5B60OfVJshNQgA4RxGs
B/HrRsd713eWjljvmwLeDRi7Pt6fhA8nGGc+/SXCINqgyOX1v8Dq3lAc3uVeWdYyH9wQ7IYomYWC
E6ms5Ess7nm1nGJ465B51R+8fnz3hjCO1WIKueUuQVbhHhXDYIwUZ2R5LpUWHQw9Z8uLGKQq1q2Q
MEa4FDsPJmDOdbIKX+/6JkvVGpgv12g2H0yyWsWi//IoVf3B603xMZx7yY6Z2xz05GX34bR3azGF
zgCWGtC571A3wAmGm6I1Uloa6MK+kyTOYDxP3DQVxjS5FUYTJvEGY2/kiMFdjhQNzPC+x1qQbBN2
c0ppYMJQGgS6I+ogRoJv0lRo9eteeP0YzKWH83hbdCOKh0G65UM0FT5yeaVv3F+xs7V70jTgJ02I
XjjiulVt6mUdVF7h99KhCB/sEcLERH67gdmTy79y48TNaiPks56Qdc5n0oTyh8sTS+51cs1/hvGk
VrPSOw8sSutdcOnvy/LTqqqusrq/QNYvKf7T2BM2DnmBkQac+HMcqLIaxy6UhnXPFV1Zxohlu/Lz
C9QKknrfjsOhe9JLdtY2Mj8b2Ft+LZiS9g3EOt1UUv/yBYepmCTF32F9N0lcwXNVcV/Znr1zV+Kp
UscmDRxYv6XOeHMgVgFaWXX/dWMoC4QzX17hpoG1eC8qnTuyBsbfd4d1h1QYcWpW17qyFnkRUi85
+L57ySAMoKMUerO8hpTWPYOxIRiJktt5ZZ7nJe+LNK2vaXfjT/VV/L5/E4Nr+S8GvuvE7/4DAAD/
/w==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33FDAC1D-A165-4BB5-BA45-7B9709067984}">
          <cx:tx>
            <cx:txData>
              <cx:f>_xlchart.v1.8</cx:f>
              <cx:v>Sum of Revenue</cx:v>
            </cx:txData>
          </cx:tx>
          <cx:spPr>
            <a:solidFill>
              <a:srgbClr val="235733"/>
            </a:solidFill>
            <a:ln>
              <a:noFill/>
            </a:ln>
          </cx:spPr>
          <cx:dataPt idx="0">
            <cx:spPr>
              <a:solidFill>
                <a:srgbClr val="235733"/>
              </a:solidFill>
            </cx:spPr>
          </cx:dataPt>
          <cx:dataPt idx="1">
            <cx:spPr>
              <a:solidFill>
                <a:srgbClr val="35834D"/>
              </a:solidFill>
            </cx:spPr>
          </cx:dataPt>
          <cx:dataPt idx="2">
            <cx:spPr>
              <a:solidFill>
                <a:srgbClr val="409E5D"/>
              </a:solidFill>
            </cx:spPr>
          </cx:dataPt>
          <cx:dataPt idx="3">
            <cx:spPr>
              <a:solidFill>
                <a:srgbClr val="48B269"/>
              </a:solidFill>
            </cx:spPr>
          </cx:dataPt>
          <cx:dataPt idx="4">
            <cx:spPr>
              <a:solidFill>
                <a:srgbClr val="91D3A5"/>
              </a:solidFill>
            </cx:spPr>
          </cx:dataPt>
          <cx:dataPt idx="5">
            <cx:spPr>
              <a:solidFill>
                <a:srgbClr val="B5E1C3"/>
              </a:solidFill>
            </cx:spPr>
          </cx:dataPt>
          <cx:dataLabels pos="inEnd">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ln>
              <a:noFill/>
            </a:ln>
          </cx:spPr>
        </cx:plotSurface>
        <cx:series layoutId="regionMap" uniqueId="{B4CFAC94-7B60-44A6-9381-39F104EA8EA0}">
          <cx:tx>
            <cx:txData>
              <cx:f>_xlchart.v5.12</cx:f>
              <cx:v>Sum of Revenue</cx:v>
            </cx:txData>
          </cx:tx>
          <cx:spPr>
            <a:solidFill>
              <a:schemeClr val="bg1">
                <a:lumMod val="85000"/>
              </a:schemeClr>
            </a:solidFill>
            <a:ln>
              <a:noFill/>
            </a:ln>
          </cx:spPr>
          <cx:dataLabels>
            <cx:numFmt formatCode="$#,##0" sourceLinked="0"/>
            <cx:txPr>
              <a:bodyPr spcFirstLastPara="1" vertOverflow="ellipsis" horzOverflow="overflow" wrap="square" lIns="0" tIns="0" rIns="0" bIns="0" anchor="ctr" anchorCtr="1"/>
              <a:lstStyle/>
              <a:p>
                <a:pPr algn="ctr" rtl="0">
                  <a:defRPr sz="1400" baseline="0">
                    <a:solidFill>
                      <a:schemeClr val="bg1"/>
                    </a:solidFill>
                    <a:latin typeface="+mn-lt"/>
                  </a:defRPr>
                </a:pPr>
                <a:endParaRPr lang="en-US" sz="1400" b="0" i="0" u="none" strike="noStrike" baseline="0">
                  <a:solidFill>
                    <a:schemeClr val="bg1"/>
                  </a:solidFill>
                  <a:latin typeface="+mn-lt"/>
                </a:endParaRPr>
              </a:p>
            </cx:txPr>
            <cx:visibility seriesName="0" categoryName="1" value="0"/>
            <cx:separator>
</cx:separator>
          </cx:dataLabels>
          <cx:dataId val="0"/>
          <cx:layoutPr>
            <cx:geography cultureLanguage="en-US" cultureRegion="US" attribution="Powered by Bing">
              <cx:geoCache provider="{E9337A44-BEBE-4D9F-B70C-5C5E7DAFC167}">
                <cx:binary>1HzZctxGtu2vOPx8IeecyI72ibhAsTiKGiiqLb0gKInGjAQSifHr7wKLcotlH8ru6LgR1oMriAKQ
uee1187yPz/P//hc3d+5H+a6avp/fJ5//jHzvv3HTz/1n7P7+q5/Ueefne3tr/7FZ1v/ZH/9Nf98
/9MXdzflTfoTI1T89Dm7c/5+/vF//om3pff2yn6+87lt3gz3bnl73w+V75/57g+/+uHuS503u7z3
Lv/s6c8/3r778Yf7xud+ebe09z//+OT7H3/46fgtv1vxhwqb8sMXPMvNC8641opJ8vCP/fhDZZv0
8euAUvpC6ZAxptTXVa/vajx56++yr1f+aB8Pu7j78sXd9z1EePj8+tSTHR8E+myHxm86SqEuXGpy
f//lhxt/5+/7H3/Iexsfbojttu3bmwc5f3qq5f/559EFSH505RtDHKvpe1/9zg7XH56T/6/ZQbAX
hhsmOGcHO/CndtDyhcI3UlFhHv4dWeP6fvrhg3Xlczv6Y4v8+8kjq2zi/Q2t8urtczr4i1bhsEqo
QsXVQevmqVUoIy+kDCmRQn9d9RAdr9x9apuv1/58fHx97sgWm1B/Q1vsr57TwF+zBQtfSCMlFfwQ
IIQ+tUXIXohQc8HCxxsQQYcsebDIvrIu/3L39eKfN8lvDx7ZZBPub2iTd9fPqeCv2YTLF6FgxpAw
/MPqEaoXXHCmqH7MarDZtzZ5d980KA/3918v/3mrfPPokV02Af+GdvnX+XNK+Gt2EeKF4sZIrsgf
5q3QvNCcIZrMH8fKv/L+s236/D9IYN88emSXTcC/oV3O/4s5TJAXlAkacvVYxY/qCexCBaqNDOVv
dvs2Xs6rKm9sDkB0uPrnw+XfTx5ZZRPvb2iVf/3f53TwF6NFvxCUcqlDfdA6avkTDPxQ5ZUIiaAP
ae4oi/3rrs/QAfj/pN5/++yRZTYR/4aWif+LluH6BZNCKUPNob5A808sQ82LrbhoKujBdF+94lDz
47sq/9W6Jr/7ev3PR8y3zx5ZZhPxb2iZ891zWviLMSNe8NAQjWx2UHx4bBmUIJQXHRL5ddWDTc6/
3GX266U/b47Hx44ssYn0N7RE/Oo5Bfw1S/DwhTGhlET8G2M9iREiX6A9Qc05AsSxBSK++/If2OLf
Tx6ZY5Prb2iO6/f/RXOAUJFKCMkfodfvAkMhMCQP9SNmRkr7tsRf3493/0mX8vW5I4tsov0NLPL8
Fr8FO0/u/OtklySo84LrQzk5IlmMeUE2cMbNIzwTT21zREr979v6Y6bl6PEnkvx/Yrz+dzbsN5Jw
d+fvTh7YxW8Isee//cqkHT36BKQ+kfarWs+//PwjE9Dyb5zl9oon8XCktIPOf3vu/q73P/8YKPXC
aM4VIByYGioI2LHpfvsK4OCFpAwdquESUCJEODbW+eznHzVFpAoNc7OQMlSp3g7bdYqEyplEXaMA
Fgbo4jc697WtFtA6v2nj8e8fmqF+bfPG9yBU4VPt4bZtl9uKYImMopxpBTKJYQPt57u3AIy4m/6f
ihauoVMp70Oa+MGcsFa0QRWTdszX91IObXknAif7fdMt/SJ2ns0ym+PAJuRT2jjRBLFlc6kvTCaX
YVeaoOnOJlNX/ctK1m2wRLacZftJlr6Y7Q66qgoep1oLeq9nuwxvq2zW1V0Yyjb5zGveqetU5V3L
o5rmPbYiWunqVxklfmp2aSVd2UZ2knV9RfXSYctpXdPlktW8KX4N+tHimW9M+gdKAsB+oiNDQH0a
pE2zYT1G4BHf6kjTOh8ylYX3yWSbojvztajEWSXG3umztU99PsVr3gLsVSTJWbJ/fnkKkvvp+lpz
NMSChxyWwmaerr8WPOwVUfmXgpa8zGNvueRZZAwLumLv5il1fucyn4osCkSwts3rSfClZzEVq5r4
hVdZ05eRtR139NrIsMN3z28SLvztHjXhnKM3NHyjgDe3fLrHOcsDljkefFGBGwnbpatOdbevQuE5
iRrnlfpYSpJ4tOG/hdv3bbOtK4zQDAMCZkJ+vG47LFbbgIdf0gU+p6KRtFX/SyYS1qTRVORD/qpJ
MEjxUZZZjBGi55dHR3wkthYhmmJmhMQYQm9q+SZ8UjnmAZkz/iXQle54LCei5B0CKfDnds11dZ0H
1NKXvOyW4absCVmzCP1aBaU8vxNkhKc7kQw9IOheJRW0wY8M4FVOiqVsks+JWRvpTm3X1slyEiR1
b5bTJXQzrPL8kr8XHjBBCSVDYgiqEnkqfKazpCoW4r4INSHK9wtVKy330k1DL07yMBHqoxug9S7q
FYY8Hy1ZRmdOxtySdvqOI9CjTKaJNARs3haowP48PNpNatZCmtYHn7Lc6To4m322BUQ92wzjm2Eq
xCrivO4X1kazYRy7kjnJhpu6VcUSNwF1zY2ps9o1u05ax97WY970n57X2ZZPv8m3Gp08EYIISTVy
OJiWpzobpiR0pFvnT7PzDk5AhpJAWWSeuAyi2fExuGlZ2W1B4ye7feRtOvxVZVGqtFCcKBMKLpDa
nm4j7Fjvl17ZT00lA+TwAtlrnaJxIX6RlzyRyPt9Orjyri5kg4zq2tpReRYGRTCWUZch226Zf8nw
VJOv1Xgp5rK19XfSCj32MbopSbNtyAcLK3VUn2Y+Na1pVv6pT5gK6pPC9201vO5Wn7dNPHVLh80F
uh7xnV262i67sFyX4GZq2+S8N64q0rheV7Jc1lnX+CRqDFGJjwdJguqtqk261jHjZkZKZEGx0OaC
rKbCW8s8mbruO2FKAaCfOADo5tAoowgoHbSg8ihjwDObbmzG9qOWVhYybkko4YpJMhjjYrrqAKk9
WQ7ZsxoEvhse0klLkxBfzZPnqtsPE/9+QIvjLM6ANgwCiVKGwdLv3KKcy75OMtt+bB2iqDvhfRmK
l4xmfLnk/bBAHSYZq/V9nc3LoqMhc1OXxUj4k3qbdmsSnLlaFOt7Fwy9ug5ztQGEWYx1ZU7LQW7m
sT03cKFl1HJ827qiXN+vlSqnMiJVtRWtHNqHgWxjMlzkiwMSCet5hu24LBZ89CtJfbhrZc/7vdLD
ZrtyTnMAjO5heROmwTJFoZ0LvMICPGDnedBs2MC3si7v5l41Xbs3o6PjjeB29VfOlYmLqqp2rI6D
NKnns1SguH5owiYR70cyUjiZDlPgjLFrLCDK87nhOIVD+5poDYwvtJKcHrkGT5YmpaatPq607l0a
zYzoto8mW9jqnA/dhETx/IrH2Yhp5CJGUbepQO0+XrF3pM+mmk8f+DpszjgNYkt/rNclircaO6k+
JgVf4YQTG3yfvtRILPDT57exwdknQcG1UkyjcElGmABKfpqOVj4OXWBU/b4WTe155O0gg3vbZR2y
UVb2DT1xibb567EPU2ScNpM2PUlDz0YbhVpP1Rh5lnaXVRKqm5m7KlyifqJqfOvDgORxJ9fZXsKJ
SBYVRCR5G4lE0S3YMwI/tGMGdHGeFKXfIn9EA/0Kpw50u0S8dHweT5+X+DivhRwFaju1wB6oD/QE
TyUuVZI1U9fr23FoCECsdI4BxI7r5rcCIEucZXSa4bZzaTg+Uv+AbAPVbi7Nh2JiyU0yq82lWZev
tTvLW8a3FNmtPaH7rhrbPj9d5VIi6pKp3jA1XcIa0alphzB6XiR2lNlCIKAQZRNZDRaklByl6o43
9WqLht2GPuOILd+m2wZ8wIctdB/iGCTRgr0l2byFOHLlllJc26HQBBkFjKez3C7ZruzLu8oUWpzl
U7XpoVsmq66TbsZdecY3EZe0Vv2+DLTj+zZ0I+/jBfUC4n5HtKMOAKIZitktRahgmA6899Rafi6p
rga73PJ03DKVdx1ca63W3H72JCxZEy3edut7zZqtPtaBpTDIrOoqXU7WWlGf7g0PhukWKNVBHZMu
OLyPjyuySZMHBi4mpqrdstuAtHmWs3ZCWvNAJFgw9wnBX+ixKFRRpwKq8F5ngY9lNRQIicywAn8d
9LOlwvLueSUcxWgIuAB0pZkM0XaS30FdOq1CLaoL3o21tsgOB3jLsnAeyxidZZY230sLR+VoW1Jw
AHuCskQUUNNTtZPCAkK2s37XDxQe4hfv4VCo/dCPKFph5UkyBXbuI1XxBQqvxqQBZEHSg5YmN1f+
tVZ9mBT7xIsQyQABOb51IChRAeoAge/nBoXq0WxpNzVQ5VyFDWIFUbSZIy3nzRBBkVN8mKUw41ti
a4udyLJEbSqV3/rU57UtDIdw3yBFCL8VASQJivHB7zsqwME+SMm8vMuyRVVJ5IeSt3EykaS4VmwV
bjnpMqfaMDKMmSKLnOvy7oJUA59l1ALtBJcurQPxMqkzzeNusnP6meQVOZuSQahdqRtbfRFFtbq3
tVU1TpKttJpeiZGSed2FRWNkG3fAj/2wnyYZjteuy5LZRqomNb3ixFGzaxpnaFzMfnBJZOewW4so
a0Yn5jidyxHBMK5uWqpoDmQhir1hdBA3qvKLSGMy02EaTlszZTQBfktSf+4zDWQW67Wa1hVtLVyx
PZ/LJRmirm8LtR+NTvlO1sG8vpuUZfn7QVRpsuPCMxov6E/tEqnU92ZncjaVcSqr9Ewz7nedJdN6
mZiGkFM60Yzt06APM3LSlrYWt4sc0zK4NZbM87vZz9y/DHrfBG9RMfTwRTql3O2qx7SxUWstzfo3
Zl6r8jTJwW7sVyvC2kamtJxlsXZr34WfaF2EzZeMtXacd3CVpbs3g58mEpfV1NPizCdNJ8Md+gBZ
qdOkDkp1bagOyvJ0VC3rq+w+CxvuoeWZ8tCJlyu3I1x6pa5vszeYsntFTppGtK0+H0ySZ9VVI+ey
S0+KMfXTeDXJJM3zfSLqaZBvk4bx7lwVIkvDPXxF8TJqx5WgrFd9mE8mSgOhOr/LErcWy/mU9kGW
n055jWoTl2YSSLBjmw/yFxsMSvbncI4pSOKJA7bQ66EF6jKRX3g4q1cV0xof/nAxyPMK3xGDrt7F
q+1F92kdOsPGi0K5NmVndA4CreOlkOWgT+emoHUVSTFudZHIIIc4KZcoKndzsuCAQVzIzMj01TK1
U6tfF0lQTNVelzxg7Xk5LCYcX6mCy9xEnTEbJ6Gdl1n5XqdJEqyXQlQ9NBUsHVL2S2TtLpOXAU+c
rq5o3uW0el0UUxEmJ1OBRJCe2Jxy7B0pa9vSMgYVYSckzZa825G2LFy4azwJZPMLS1mD9eqiMuZ2
SMOuix36YGiWhUOOChJTlW0vwf4BWaKuMxumF1kP6eM2ow1X+yKbNo3xypf4sH3mg5um1lvKF6NP
Qx2byVs4wNoAb5x642rc1x5Ezbxcob6u0PiHWtInWK3KKJrMhuabeWgrMib/Rat503MjTAEuKRgC
B1METRlm4r7r0NB0e5fnQFrxFNJFd3EeZnIIYEExdMN7XzRD3kBfQbba02xYBZ1fhoXetpzD0u16
o+BZWIHjq+5TEsybgykXbJaXS4Brlak31Ywjxa0osWE3YQ8jzoFAxkd5nOO8+wTCLcM1ObdW3ZRS
JIbHYjIggKJWZxS6ePSeZO0NXqmLYBMu8cuDMgZ4jYsfMa6Rq9z+4r0sX3KSu+DmUdXB4favSj7c
B6aAlS81a2tsgDZBNn4qc9Xm7jRv+AKhO7biAG+UMp7m5AYNeGpNJA+Gsuvo4WrovAeXnjfULImM
aJmNi3pl6sFCSyOrK9zCWnBsLgbNkYwmKsmygd60lgwXK52S7pM5aNC2iCDktYNMGcvRo8WtbdRE
z5Yh3LpzcjDtwT1UUlbQjxI5njiRutqEn9WSwU9T6rZlMpEpXFxsR3R2uwa5GPwFJOWbeg+OtA7L
gF1CyO0tNHc9nsNkg8O7ep9tWz8oNFinFX/YiluhTwIim7I4X5nUc3uaEjBa5GTKB4uYNkW6MR/9
BPvmo2bdJ6rSBu7TSyBWCO9GgN1XPbjs7YVs3D7EmIb4qBqyhUO9ym3/zaDSbLodqrRK832Thnhv
1nGa8rOyXzT1l/zgK3nRG69PH1VuitFhO3POS7wEFcBi8aLNS9T5kXarIrdAbkU47tou8E0ekz5N
sLgsMoz4d75qwW1WIAxA2cBM2XCubbqF84D6imvlMqgi3JcAi/NywU1fzfbMC0vqOq6MqOoxSvoU
tCE1dMD9me96fAA0yuq67gb8d6knkGiSTBRUUQcuv7oeS5+AFJhcgdVpltrxvWqSGV1Asqyb708G
qbzYz7xjyDChy6ohPKlqlNj6ZA6axPTn0qBUzR+Imgvkm7SytizPHunkwleZK/ZDVqHf/byIHkeE
z9oigzpO+UPMdDasoLA+mcpkfc+z0E7+tuNTNqkzfxB9NmkPFfF2XktIVKZTL0/USiiynHdiUx+d
281rwFdtLn7gT8O+nKABOrBNXp/nDB8ODo77uxxUaBDl1Qpe2QhWNiYCZbGo+iVvqcMdaqFbDzvK
oYdfHUiWlcrKJfuh6VzCztOkW/GO9UC9JWjLwRp2UpTgSxNaovWta/ROTewrEBPysi7VFk9eTDlI
+LQMPVIlV8mCmtcvyDTFHp3tprwh5xtVwIawBBdfVE2Kx91SQcoPE+BZElxMSe9cfm14sZGUdkC5
e6nLhCv/RoDGWpKTOSmCJdurqZVVvwN1QZWINEgg9VGknKIlRzE0MP4aiBVSqabeykYtk83dHHMU
znfQZOEtmGiek5yPF9Mq60S/KddhCm4cwDRYhbXtjPqIfAv/CqZ2hQYKQTYZkrYJkPzRXm4sVZUD
rwJZm9pO7Udllqyjn8Rcqepaqa5dkr1gtvfBr1NOizk5QUXjlYz6Cvx3EIcV1e49GMmp9O9I2hVp
Gidy4dn8dtLANt0XM+Zjxz70SQhq4tSVw1ibOGBrX75fxcCEjQZUhxnNPqUWmFJraQY6wMvrwrB4
xMVAj5GeMJmad4+SHGzZtQUI4hiz72UT6yHdVNW45T+zpFs2Afrfgjfv6+2O5oG9Twq2XZOUBLhj
SZftxoSDnahP0Llvs428SlqEcgq0mFyvfqHtSYFA3aLS1Ns3jy4LTIlMZCSGPRgBPPDhWzoN0tjN
i+M6osyR8PWQ6XSy0UQasOdiWRPDzqeu2aI8DdaNDuwxJ8KHACzz591K4N+CYP5wDd5y23mZY9L4
8XEh6QxKWgdXCW4OHVuTF6suo6JpB/GmPCSs8kA0djhLDm8Iqm4jIXunnBC7Oq07m0RZp4bgZshl
C5n9hCneeJGzdINxmZixhh6rbVvDQ8AFtkQdiRI5bEHesm3MuGumefNJnayszCOZ9U1dn2RFhWjc
HxQCHnhLeiUOIeK9oqdBcZkxXunwO8TXUUMPLgf5AR7MkNwU/R2tnHnMEMBXs5vMWoVd6zSdEQ2T
RZrtArFFUDWCeMmiMe+2vX+nu3va223Lq21wQrYj41j/qLF1w2yDqdegqg6psQAHjF2gD0AkPb/U
EYGOaCI4ToC1QFnhv2pr67+ZUE1h2YUJoORXHyHlbG3ctYkQr7TBzAoZWWWbUYe8gIWtcAIme0yO
z+/lKYWAn/DAf0KK0yUK43D4OXu6l2TkDPRtkd4YTNXUx1zSDY/3PQ7On6wW0Pl7ev79gjj+DeJA
hYaBXDRHvGKZOUKrmiRvu7lBoUhLVPxzvZRIc4+R/byAdKPt/t20bxKCuyVSUxYyinHU0YJzVYi0
8ZV6+5gxpmzdSPtF8UXK/Sz6cNwXbbK6N8PEl2JXD82Wz7lDagj6VaAefWdHTz0dO0IrFRoUL20k
zv0cj8UWQ4JJL7x7Wx2CagKuQ4zPQ5kgr+fhmMMEmRgWRKbhKA6AFkG2baRoeTes8dihs9/LmltJ
ohmpZYmR6jvcjvhI6HW+cPST8XSYZ7WHNPu8EMdmhOEE4URiYoJffIXHU1bU3c6zORivs77cMtP6
AITaXjbDmyUIB4FTxM8Nlf9oPUlgyO2fUuqInNUz0AgLyXD9WPbmNOuKiFhkVhu5Pk//ErUmCSh/
ivNWCAwceBe/Swd8SsBEj3lxfShLAMmbNXRZIS6avtsKxvMCbvnlGzeFQ2D8JBCBOI8iwGge8ZnT
ss65W2V5ppvAlTLWda35R+UQMN8Lwd8vBdOFmODhpxhoMo9TXZ2wehlSlZ4doMgowY7Aj1hX4+N5
qY5ma3g7TmgYDOO3nw0Yhcz6NL80xGdJMbfmMylAUz+GFVPlBhUdr7d2cgrHpo5JLRzTkXYVJh1R
BSjax543s74tJoIk+J19HY6IfKNwcJhQgcHBHcKR2vCbrac7IwTzIp1n/albGcn6Eybn7ZTEgGOT
g/21XxsM2mPbp+B8TVQnK7rYyMvU0/oSKAJHg9LYli0YqSsmwImQ13Ui09SeLcAs0l4nc17SeYkT
hlHYh77rarRnrmCi6U7qaliZj4klqq93oZOgAK/4TC1Xr81hzlgqNEn8VdLUtJtflmk2GhzlGUaV
U3A1BY6QnKEB0nm9q4KihYs8Aicd4LEsKg9wB51DiCKmHtLroQUqH7Q5ZTVDSUHLusGTaWQBgLZl
IfqXhg1QN6CfGvQ176sNZAYHzNViaAu7kTakax6Vva/pGjW9M02+U62uiiH6SsV0KOdZ9AiwHpAd
Jn4T9Lt24QYudDeC8ULPUyp20oYWS9Ylup3xgmCKkqdxNdc9+jzMGaqiuuWA44Zfq8Ub0Z4XigQb
SdGPDvzvcugPzbT0vNtl5VCDDgYzpDH9iIrMhzaJg8GmE6mjjuNUE3ttOtPq6STtlJDdO7mYcbXv
MAfZJm3ApoSpa+t7DDfe5S1Y8HQHP8cxh33mOkqLuKYAw78uaIn78EKqeWIfqZwXH16DzkvaN40x
RclOiqYPCDp0JLTZxzhihhn/SWMX2HY3zWx1S0QCMCZjDMhIZRgvYkmmq9L0vl8jjMmnHF2+CR3m
tXlG+lNBKj99UqQul2yXCDQCTVTrpna/NGCEgiEKD6PAxxzZYU6fqquwRj0p9k1WKTYA3T/gPxDy
G35dGr8Vw4NrVA8otdFViVbSGZzUaaPREVVTZNjUamyDlSWLpjIYzTsUFxvetI0Jqn2dy1RGWZpO
N3LJZbFb8ik5zcXIz3LC1/PazeMZGBb7VjvF4tnI7FrnviLgskf3LoFTn4lU2j5C9GWfCtdWv6Qk
t7vZ0AQ9csX9KZpwUF2skZdhSz7aEuHYTK26UlPe7rTIMliXBG5f6FmcFDYfXq1F5ckJugV/Ei6E
V/BYVX/O2uGGUdFeOhGkl/XY+xPZgxrHAZn0bLSD2WVmCt/oNutw3qDNv+R9l+yqrE2jRTTNTiam
uwhXVu+XpMF0ummlwKvDpYlF0ej9hFeeh+gTP7nZDqc4j5F86UxZnZYzrdZoMYXcZwWxN63AzCCq
QB31UcBtejvNa3hXBY0ExTDU76aQ5SeEeXIhiMnyyAYBvxKgD/fO9/iVXKGTNyA1c5yj8tx8oRhB
oc+iLX07siLL9+3SBCe0r/3bfhQgQpAKdv0yDxe8d0sZyXoK40SbJAt/yUdmlnOcjBg+90wU9MQO
rUf7ldfZEo349dF96KWud0ESuIva4JjETlBfvJlHXqJ/q+2l7D3t4iTM7B0p+vZq1oJc9opuHprI
bbabjtPFDJj9kuhyPAcrH1zkJc/YLkT2+0KniTfRuoY0QzvfBh+mtpvuuyCYY5bT9a7vC8tw0qHF
scZ17eG5WdVWEU5yuWHXrlM5X6gh7dKI0Da/XqhGIkarF48Tr/gFfqlTtRdu7tyetQO7lFU9R2Cg
38tp+UyGJLkWFOEz9oPfgfIkeZTO9ah3crH8RGjfXLeZcB+WdgZWJBi7p300lDibUcY6T2UbBQMX
d5iY24izqjm1IDAiRmr/ZqZN+abPFl/GpffpbZct3S9ubmsWdfMwxwl1bREV2B8mwSG4QATenK2x
mMPptWF9VsXNOhZ3Rd2uEYZP9Xv83KuL2nakbwyGG+ctc2E8OJJciLwRd32o5qsCc4gR4xAxYNHE
R8kQdOiUh/RKhYHNo4qW5s4FAFu7ELixiGTRd6/VpMo9Er1SsclXfeapzV7j/BDOnEyZu2W2aU/H
YaanRTuqO8eT2wn9++3a1Wt42rViiYquTu8XKOQ083oYTgBPlxvvjEwiJzpMksvURyQbx3Nlyva0
Az6mUap7c2sabz7xueXvCpfYT+M6rvcDHHw3asteChx4OCWoFLtu7vwNcG8QyakZrwLXlx9XYptT
XtEEJ8ZAc19nCxGoZTMyEinyEDyVLNWZxsAobvumOC3l4G5x5oxj/yO7oKTh+0Lx/gP4wu61aTJ3
RpfK3NS1Wy/TvuhOZo2Ui/a8zq8bQfyFG8T0uukT986FofjMyxHJgXXLeC2WGsEDru0V5X64nJ2e
zvNp5hZ8UticJqoWO7TtOPkJOsacr4FLrpIkc29WFma3ISidD90a+nco+OkZgk2/XGngcbZK5fvK
JPIKk3fKY1+baheuS8Ph767Zr2lgX5cYDbxOZ9t2MU6skL2biu5D6weRoulf1ytnxHCJA1QlWIva
vkv5amrk7Ho+4boMzyhmkfHYruJVOKYcEwMXfAkShrNxV4sUa27ipZ6BwXd6ANUeXpWSj9qfEPw/
BiofVaZNrqagTV+D/amuA7E07yvv7vBMCgI6p+/7GgimGHRxPZsCx0JlS/MLY1v2cQiSYYqrbCIv
cQRpuM3ZOHanGau4iE1G9aVIrAv3htSNuaizsN1hvizWaMQcfheatdZRsXozRjVPmmsb4BzC5RJ0
GrpWZPLuqjMjBlB0dnQ6b0RXv+KzCN7oxuRtrGaX2ZPMtO5tkeZjfYJR9JJd1nlp893/Y+/KluO2
1fSrzAswRYIEl6qpueDSq7olS7Is6wYlyTEXkARJECDAp5+PjnNO7OQkNfeTSiWWpW42F/z4/2+T
M/UUSk3GPGcfaSnXexv3k6r2W+vh5sloYJnhuGpiKfmJAyuY2syL0LlktFNMX4DiNDLzlVc+LtEq
bCbcNryBjJB5+eKhRTzPAAjmJ1pjKp1QR6ZhpiEap7KH3Omg5zA6UWLcvnlcfcuITq0Z3USdCIqd
e4wDMBX7sbX9lFdaUvWQOCVvoAwq22RKJ4eVLc+cIDEPtQ81T0qqoP0grOes+wUDcJO50UjcmyVp
TJ+RCfzCJWpRTnMI99ZcAHE7NWSuM3jq+Gl2rJHNbWudMFl9XP7eNV0O/Kjjm3psILS7neegiefc
hk3YEgD/UmA9xKBdM+VZ0hWBp9rqhldgjdOuB/ycrbMZ+9TvLAipSDX80NcBFUW50OXCa8C3eWNq
c/BL2GTzMHarCFBdM3lHXk4DaFJFI5uSBax8OJP56tDERFnXsECmUcB9QITAEp+8wZm+6AStiT8N
luyFYJ5flLoiimRo4SpHZNAMQCK3pFEV3lsnEBEaMxXbus1QSWf8gHCd2tTvKEJjHBbV0A4pLUfP
JAXvIi+qioEYQenFc3SoPoJk7tihGePgtdT6ZV2r8mNZDS9lMtAmxZjQPSzQnBQsZtPexebhokiE
E2i5aD23lrTXya/VTldTkg3jsA5pBPnokHYd7R6mvg3zaQptquI6QH3Vc/c+l2zdRaIFvVgadgHz
GbuZZ+Qy5is2m+AukZX/EEHYNOW1BgaF5wEPTAqd3vLFEwP/MIy9jAsZReWNFL14UKOcy0KZUrMj
0OwySp3OJMdONGNO+rHd8ZHRh567XpHMlThzRp0L4SY4kwFkqiglSPUEY1FOCNOvvYrUfjWEtKkb
YRPO3USPshi8UFyha1zm4zAtLE3k4pps5GWTBaHUQ5p4HYO2FUJNdZQhTq6wAN8fVoYABwY+ftw3
4P3yCYtySVfLpyt2eWz+dcjbvG7QX+AjsHvsOvVORUmYqX6onpq69F6ACJodxETJXrhJt4uGqLlz
GnfKdBdWz27ffWwbKNRKDG67iLDms1jILFLqC/HZd9l0UsRnJmWTaeKsBmh7YgPBSZcukPfa6AxD
uH/bYCw56cWr33nlRy+cld4z9/zlRoNRzukwiqMPKPsJpADhW00zQ+o37ngJGfPRt6I4bg9h8B7w
bUi3fbft2obIN6Fjpy7asAZBC5BbhMee9rXI5FSbGRzYKgBiRkvjZX6LOpKGTt3QSztI8lZV1cxT
0uIzpE0bVXHG8b4ZYDk8E5Ud6LELFYlyjPC6ndBr8fLUDWL+NGBqqzI++L77go13mdLEiRd9cGYe
5vPQOId6pOTjpmfYeavmKq2tM9xSapo3peMB2wMmz51QDCotwah/A0pxOg8WYpd0KtHS3BiphjdO
ZlNnEvCnTmvdmvd5tlgrWJSY09QAdPWLBpumUzCFuugb7Z8AnpeQctVmRTMPOeuvAaStbNdF1XwO
LOa31EE7MuctGx1aOGMHLbK7avo0y7b9HA3aZFz6Mm9dZ3Svaom8B7B+cQK1Enq4NJyXqt0vaKpO
qH79Upixqhq0cglaT6hLHHH1q8VzMsU2haDtXDoU06DhfIBSBg9RFlRd1QRc70odguLpeNZwNGlT
sY2xOmN2rAl6ar9n63MvVc9vifAWmWOqYBwlLQnFOmSTp8rW7h2XNH1wGyqfxSn3xtp/bSFndfpM
O7Fp2A5EHjfuhVciFEmGadsEQ6rWqpMqi7DhUptX4NXiNlVQmQc277VlHT/bmAHSyaTCADbctRqo
lZ8ayM8TtZvUMNbPZckDUeYLlgroHbiE/H5KtRlFOO9K9Gr9UVXK6b7KURpNiwq6rK4v6AgO8IG5
BJzQfoCAa+7zyQaO29w1auC4D4EDGZdqoLAGN6Ehv8fp/9o5SeTiOsqmt3kyVIY+04mS6uE3ENkZ
NiJkbpMNsiUeM8MZHuRNUgAdw8bPYB2u0ZcyYK4J99B7r1hvoyeT+rMalsqp0j4GAOdgsmXNEmKL
QDmen1QFQCG+mdFQmqvbJK4NMlVKNfL9CtYNdwtbXiOaNz9Wve5y2s7K9mdf4fTWFKlVhMgMYhy/
Yw/+TIc6LEIIaGv/5Co1WgF9VD2jx8HsUI67YYgb1GNnFjmHOupCIDJD6z4kqJg2qdFExcG+nqPO
2gHosAbCW2eQeql2CYqyN0HdFsMCJVAC7KAX8c2K1i8umNOGDOycZsmgUi8Yk6CI7OoHe/CR3dMQ
q/ajA9XPnBIBU1waKKydAiqY7ovbc3RZUOVXEy9EKJMq1xP0MyZdyQhSdA2V/ab+PyV1qe8oVLsH
4NP1jXCZn3ESqkvjWdsVg99BRKYTENSD0z40iVmi44gWLkr9frBBavqF9/tpdqGuNPGw9DANaf5l
WF3GUVqDjqUh9lGVz/5q72XtLAYNgtMW6EAxIbJmoHQ/hcHc5ayLzZuzMmOH1CuX0buPec1pjki2
/n1yQaynstEYDfrV0ZhGpsarCrQTkzyoinL9pXTMhrigoyZ9tvKq3ME/ppmz65QXQzRExqTPmBsI
UQTWlQdPiuhzq9sAgGXESCkyAIo1xYQaWXnt4tBVOXGpmp8hyYCcI50GqP8yaE1GjQbJI9A7Ady6
lpi8uzQY0YdfDIhAky4+j4qIh+3JKaWAxF5RmD6g+Rs6SEqIVTKPe5qAKnPmag8/BW5MZEon9aH5
O4xDOzaZAmD2tkJIgWeDJR+U4wqc5zrsQm8wdxY3Ow8SFidFA83Hrw5EVQAPm6G8cVCG5QuGy6X6
EDXdtHVdPqkP6GDC0xREtH5DifTt3tdBcy8Wn10g3yy/lJOHKx8vq4GMjikgI+tam3So3eVjbKi6
W6a2winAXgfWOuoEqmnUwUTBaXLvAT6M8qQRy9EDaFHnCzQ7nxY/gL+Rchkc+qBpIJuc6MPISrGb
Se8+h5P00iSCPrKa2hXOAbnaFL4se4XXk9Q5UVLDbNb2EO4ntU70sQwnqOZkv0KmWrLF4OMm7SbZ
wDScDX1kyQ7MFfhf14fhMS+1r1F6Hfgw6nQeIsge/VKOaAp6Ky++GtRNSTwd5y4th2gHgcbwuJho
hhp67nGWUClEL8FUxWXaoQG/HZ2t45VxEPcpempbpyFnCWQyfKyrHBt6A0UY4JK7tQMCkK7hMIQF
1xD+5b7b1cU6GrympJD5Qc7SDbn2h6+LrPqCMGmyZab2c4Rqoc9m7qchb0cd30s6zQqHo3TEQFAD
BeqIuPgtI+e4ankE+RKzXTp5LDk7TkXebFvzk3EGeQcNYZNBm0Ze4dZRPfiPKLFZTWUzZdES1DZX
i21k2k7xzApV1XGL+jv57bnxiKW7OVzok8OqwVyBXHEfYIDobNoOnfe5TqDESDsIRK4Cyhe3iBZq
MRQkBG6Lkbm0KzqvqR45NdOSYd9EV4f+PK/8aYy36xbeLv4CGNongl3jtvOfR6g/ylSr9rMvO/E8
zUKkiGMB9gilJwRcpcYj306fS2dxS/RWxskcdB6XScF2JIG7vPSlco5Tg0WdTzWPbmc1i9NMR3hQ
pojfABeIDg5z4ycgxnWEx6AM3way+oUJXHmvJ0uOXIqZZI2Ol61bcztIenpAPJGU8UH6VR/ma+Kg
cerqxOx7SnR7DxdvnU8At/IJj3qQjT5VBdoX79xbUUGzuHjPFbPmOWGzlw5SubB0Ul50ccu+Qu7s
5gEN5o8x2v29FzDvTUAZ/+ziJTR1DC4crAjP8ALFFwPxwX7QM1ZdrF4hnJ7vBuValsazcD2sg/Uu
KR2OjsYLuj32g6nHmCH9PI4gmsGrb5aRTJ8agB15bDCojPA6r6mpPPHkxG3w0FR+0GUBUP3jMPQe
KDooQLnvv1sF9H8q+AA8aHrDBsU7nYObh7vqGROt6Ib7KZAioLdzU42o8jKON83UNMKXDfGCsU03
gmsAESpuAwuJj90vBB4SkvvCNXN1dFXVNesRAnM7f2S1Weg77QPBD42IuznIWDC5s5PHmgbLhOLF
obIB1wbdRpN4dejmEAR6K9rG2LV1NvFwcs1RWQMUMw2Jobsg6Jf4Jez7GUVlHHhrWtQxWrk0R58H
/UTu2LAsIbQJoP2CTBptPNReFh5tLBrI6wMKiWo1iF/d0bGRzEG0QkBYyGGxvAKTWpccKqahZJu4
Hc/gCBqkbMrVHT9oP54xwtS+CafpScQL000OgjjG3AcrU22aa9MIqUQuF4QUeoU7+EqOb4qv2rMp
3mWobbaIAC1Zug4VKsOBwb7ZJBkQ6+1MgrB0k3ZflUZH4yfllCuhac1iju9Box+F5uzMEgPzubGS
tWFm3CSO9O7v6bkfGXKwhlCAuKAONycvCNjN8P9HhQSgsnh24V74tRPD5m3Sv2lcfNpPIMplVAUK
kjTtGgcGjLoBRfcPH+BHunn7ABAKwLyLRDSwhCCFfvwANbXwRpV19IX/9gG635QnHU9aPHGOAC/2
G1P6PT/h7jfm8bccgHcxwFlTVt+TXf/15f88ig7/fksg/fdf/vcWM/v7K/7n8nui7N/+1P5XsWXn
yJ9/aPs0/3ovfJjvn27LUPjhiz/FOfyHwIbfAmr/wzd/SHP4IWXkhzQH+Mxwe/+lBfhTnsN9hQDX
/zrK9rX/8hcv/B7ogGwGD0Y1bwveDAnIdBDNvwU6OPhWnMBfAn4oAXaCW/09zwERqnjFlp8GXgyK
lD9EOgR4u4C6Hu7/lvTw+xn+cBuR1vv96x/iHNyfBCjgluPtGYYbeyP5/+SHHyeYdrskEQcnkhi0
bSUeEky2NcxySVdAQvkMykhfWmeoUwxBz21JnaO7RFciFNC7bq14Dk1x9yEB4nbXKveJMres062/
24lgifNVOf5xgh8qCyC22zXWwGgpo+sAwVRKjHfXmGV6TfzuEi7txXeWPZsHls8TTeDC7iiEVSoG
1Vd/Va6qr92GkIzRgKLfAz1wnRi1nZIlrd31jCHhLvSknybT8gqew6SUY3gNwChNc/1Vtg3POx8W
q0jE18g3MClEaKrK/mvC+8vi6XuGjS5FBwJhIr8ou94FjT27JX5qauC3rupXO2AIgnfrnc78BHji
XUQhtnW5Ey2D77mr/E9shB9rikOo8mRSCMlARDvx1Zv9Z67b18hdvZ1bLvfuxC/bFZg7FecBb782
UE9mCIhodn5rRe53wMNVGUFVtmhg4st93Jswi0lYHqc2eV8YT/ZeFRzK0p65IuK4InIvg1QMF8Z1
s4DWJ1IBQzTcPIaVvV+G4Lny+ak07es0Nq9ipdcI3UqYhoEsApwQOqavYrZ3QYt7Zf15BzIasETA
T2ugWIpNrEt7UmIYFLhQiHBgwO+nGZ4itypqnsAo7WhxnlHKi9LZrmXVvQJdha7crlDpL4CZt2MN
6MyAcKx3i3TvZrLs0fefvbhEF6Pd8xAJJ9O8+uq3+DHq1RfwWWeCm3OIBZDiBrRnKgL7tDI4rto5
BJAG5XPOJQ6k67gBTRqAVKDNSVj4F4MRgkRqHoF45Mb2SwYeZc6ZqF97YDRFS8x7LNazJmWdNRV0
tnyMnmvjvsWjf5uADcnCBQ0zmQ8r+JnDaPTjOtJDXQ9AsSb/UALCSR03hhV0xtym1HoOAdQXy4L7
CR+tf0pAJBVm3XZl0vlokNwnmHffE3+ZETmAFmYu25MX6cdxUo9QyH7tEM8AfbOYc9WZRwinMPrU
87BrMQkXa+hUmefVdfbtuns9LEBJ8CzGvtlBNXAF6xvt5u11OM8UgSl4FP3wuY4mewgNHkfHM9eB
OMML/C9JFjWVzYHHa5iD8Ni1pmSZHQOa2WTWhzGy+jQKqo+yC+MjVKnOLa9sW4zr0N32zmB3btVq
kB+jzIjT+u+zJ1+Q3BDeeBA0A/EyYAUDNI4A1vOkG31IldblFQbdyUkxycHG1ARj/4Q0iqfOOKHK
1wDwB+aROjMV6M+ev0y+1fBst4WpIChb/TofZjsVY4C+LofPKmyAo0zlKRZzk4bReG2d6q4XgSgW
J3gCHlsCL6IUIlz6ano7vfeQkmBVNhXgyTGNI9uk0DGHUAt0GImBf9x5M53RPuPxXxvyLgBBp3Ls
hrTSLogZ4u38SOC+WSwBteIxHJnn5gZ25VtILNUekiWWQtvyHDnhFYP5cmR6+oq2+hyE/PSHTecv
6vgmVPqDXAhVPCFRgmwNLP0IasLt+38QbdZNiCl94eIA39Nm9h1h7IzNtabjZWXQIvz90X7sP+i3
o225NsgbgvoMGMGPR0uCRfWhjfpDiaWe9x4/gQ2r0hD96j8caetkfjov36cwkMLnS4Ci/XSkJYqM
37BBHMjMX5ONHdzKceMtNvNlKsURf3L/obv6UQD77ex82E9BV8Resv3/x7MrfeQIxJL1BwvbF9QX
+hEuRWRG+MFhgbcC2AjKfrueJ4nq9vcX1v/Rw/n92FCiAQb1kPjxs85ugNUBg3TcH2Q3+XkjuvjO
MjBuKBdnYHn84CbmfQFmueOLhgVOS6zbBETrVNn3KoT5tF/PqsS0v/r0kCQdkjrUVJB4OS8hyncc
kiHjYGRG0Vz6cNp1sLSarnxyadXloQmuKm6hpBEi2VMqhs+Y48MsiFEe/v5M/+IR8hE/ilwq9NLQ
Kv90Y0lbwxIA1uJQEbmDqeXOTda7bgUC/g/H+asrGnj+1lohuQSO8x/vZrJ4cK3F27OatMFRGsBK
Xo38FMziaR8mTS5jfplLr/vQansXzW73oSqxhwZr+XXUqMtbq9JwNBAeMWe4P0EALeoRdOUVItx9
FaPcAzztsrKswv1oiHkuKbF7iAcHmINsfVbuJO8BdD+ZCdu+InVwmusYurZwFuegr7+ymkItxDGA
TyYWe+M0X5lAhEWpduuMKQvCg0Nl6aGq4CIquxXe+MGcebQZ+dV6h1AryDkI3juJnZeJcptFHnqs
v7+Qf1FhIACNkwiK7Aie7p9uGGJGxBg4fn9YF/hK0U4YVDY6kDB1oPb7+2NtA9TPq55CuYa7FUFl
Qbbv/6GaIdgAQUjg6A9APO8DWZ868U8F89tK+ukYGOOQ1rb9NyHxT8eoq5FD4eX2B5HoYSdrQ7KA
re9bpa9BZu/niZ04CQ6JQ67AJqsi6oF0GvZJNs1bHOo+JZ2eIP5q/INusIlDlwW+18IS6pVftxSt
ImI1P7R+uKYN9ZdUuau8aQGzg2P6GM/4azjNy2NgMfS2FH0LooDmbEyQhEAmUqV+MpK9MgNgYFJ/
pT0ewbHmF202Lr+0WRw2aFA92M+pNwBrr2rkqsz3APYrADPr+R/uyV+sWNwLqGWBQmPmpeTHm9IT
qEmF7fqD12JQ0FVXZ/itG+jgHY5zrnAFarRbeWvja0dDGM/l5KYIJgFWgmeZ8b5wwh6+cLZZokJP
5KpynxdAJZBYRWvKNbIaVATyk9Hrlk2Q0wmVCNoFAT+mfUJizPsq4Z6J6gcoVtBVgavIJsfseeU+
WTRi6QAQD1KbZZ8My30JuVjaTHg+gwGFT4YatlkngIKeIVqG0PUJogp9+fuL9BeLBHvG9g8svZje
frpGSzlG0EDq/rDEfY4Wx8BZhI8TuApUSfkPdwRK9j+vkxi7MMoa8nfiP61JOO0hpQ9Uf5iI7MGK
SJEDWTox7FTgpGuYbfFIrhYDkiYoU02DDrBsL8AlQZwIFqaiTwZEXOmxSMK1gzMJREtv4zfJvRtH
x7ew2MqsStDtm174MOTJd8BX96ZFOFK0bcZ4zEqfv7Jl61IXQIqrexlVD1GEQMJOPRd6hodxxi39
Nl6ugfHzmuIHk4mfQmcDIYdF7wamAIGvAMhMbO6+DUGsRzjPMnNx6tXyWM8YJGNeqmwdMerRdYHC
swR4GSSQI+pHwr07wIYn30e35kUqr3tu8+0PToe/YWAzMzYovfOCSRbbMpKGXkW0PML3jwGCcrjN
wsHJ2hHdEhITgEJyiIkG/PTk0OexQbIBwqDGm4Sa92mGT1LhAjdtfal9zCyJQSuOkL/nptL3YATC
DO4HeJG7k6Ob09qBbZ1KLOB5bk8Yivcdw84CWgoPJlZHuMyX1qMvlVz6E/foVUud+2Sy2TYYAeCE
mX6cxBmxI9d2Dp7JBFT7H57cv1je6HUQoY/QLDxRP4extNZvRhLQ7iAj+95LfS9d7HsaYxajWNZb
//Vt1BbIFdhBzoT9cFvzfTXv7CIXWMbxMmj0cz73TZHwBCAmTGp5O5dgg0jcF4lR9tB60sGAxjsE
1AR1MfZt+Y5EruQyTCDw1hL74rxWyQ2SJtDlR/6VOKgxzWyfIPSE8mhCpEXo1iozJQhvWFSuqsRg
iP2w8gVuCDx5x6hRj7NGBZ3IfD/FGEkT1V60UvcBVfVetKEp6on7+YhsB6i0HhvQcnkH2VFKhX0P
JQgoKJ3u4XVoDnBrXzU2EQyZ6tEPzd3Wzc/R7/vr/yNsf5WJ/R182xJFocIAhPU3CNsffjPGv9NS
v7/qO7wW45c6wQYJrAxRuHiz79Ba4v7iwzyGXwYVexE6+hj18zu45iO1GN6yzWOypeB7W6oaTBFb
Xqof/AJIH78gB/MUjX344f4vABuA/p+L9OYo81Dj0YQiQ/nnBjSCVdOpFtofkfMjPYhUI1Y2Gsz3
spB07uB/S6GLJ8vNTKzNOjmibknj7xE3ER2QTlZjATIJczDGvqscgxCdl8sLxDci3bQMJUK4Jr/o
ytA8I65qHHPrU/81KXvvSAa3zVRCl2xEtCH6kegLpEXzEblH5Z4i0hWKNT5mHuNVtoKQ31vtuhBx
+PDNromRO1qBVWr7mLdABsVzMIzxK0Du7gjN1bpz63CnoMbKXYDdmYZg6dabWHzoIUp7JJWva2iW
g7kE+xWK58pT455oZz1J3WKtlyQM31gMJXtqOqCFaTeV5UVMIEZ4M8c3BnvJvVomkvdt9EErL7m4
DSwUcVeWL20FkXUCScphjZTOeY1Rm0HssZ8iDG5LHWQI4bIfxCCi49STfhc63Kar0t5tHyWnsuc5
FYbfOTFzUvDiqGZ2gc99Y7IVH+nD5Pp9sYyBC/1NECBtwMijkqsD2evqnQJeOSe0QUPBybhmldOs
uYRq/jKGCLks4HZwIHPEmODVQ1DAjh7dIB6O7oPB63aQ/FO8q1w/DJrIS1Q7LAV29xiazrxbrsJC
LkjnYRGXH1ZIPtIFcT67UAkYlAdj74O6id4UM+CC7QsYV7n3Br85KF2SPdL62JOOa7FrGhZ+QZ4e
t2gSSXMpEWKHejmYKjNm7oq4a3WOWAwQfmBrdmMILhpJW6SAD5akSEqD1slOyRvETMvXcrHJbnV7
E2cj24QycDXCdr7I9sY2w8cKpg3Q58K+Opj2MFet1L3A0avPyFIjqehc3OQ6qYZiKGNkLxEW59XK
4xNzw/7W97S4tIv3ERlf6OIwZ4+HWAn+wYjROSHJRt+SbkrOwViHoOrbAMRuDat5dFCOqu0OKusV
IiuwdTxblVlOYb3uECuGIIwV+ZhQowxxRryxrDD1km6LuWggW0eGSormye2zlqguh5NRk7wZyyiX
6J1gOFu7O8fBEE1HnlaIALhMIXkV7RixmxFqteo8eO2nENmhCEOie+bEnnOEOAhJsvt29hsepTpZ
+uR9hT8fcDryFW5XbeSdVCTu3jG0s/Um6IFBxbP6SAfj300x8hFVAb77MWASu+ikvKJsoSteREQ6
GAxka/OhCof7AZENzZLVVpeHIYj49JFAacNNTl3ez1Xeh8jcOvWSxtLJO9oQ9xaFEte9g4h6x8IG
w38hSuZ+XqtxgdtrcMrraKMu+uQiuHacConosA+9SRT70jAAe7RekxQVLq28wMEArcQDnlzKU/AE
Cr31FHg8M7qFm8Kdk+YtAmPvHOJeu+JIRbs4qYiV4rlGSCg036ZSwWUpu+Spg5bvlXvAgJCiYb0S
sRSzC/HJuJi7fo6CLzbwZ74H+KuHA4bdqM+1UydopjzGkqKn8MGka1tO0Owa13v0yxWxolAlom11
l6EGXRjgiDNnMOuQRHYVLOp1A4kw6H1xG8WWiDBDQEnlz2dkLFE3F0IDmIwMiE8XbPit0aHZgZLF
l26rm3SiuMaQHTP72MIIc55CR04pF5AoZ5BFLIAz/fDSJ8F45HWCdW8oyylvA0TYKT/aQ1dT7ftI
x3sB9dJdT9qbtQRDBEqbihtT0erMEM60QzQGTPHt9ovCUvg9hzFX0OSkcxOSUxxNe0SxNttabVC/
yrAu4GHynZ0bIUkGQummCIlcIa1cYIsLnb4H1K/EfawjdDDhqD/ThhGok/3kjOglP4Wv3suhwSsx
/M4rpB2rat20g2DlfbTjG/ao6YreMdwtEfSuta4hyCLu6D6Uq8d2xm3ijxQhAx+CwGHYHPr22MI+
cSuQqLhrHeuedO+y95WEFKCWl8POXh5ROtkBubnuM4+8OocMP/6M9BRkhs2MDIeGjuYcrdF6wUAa
p+VowDZBzvECk793oqOAqaE0u9npIdOa3bWBK7PyhhRiS9isLFvvAPE00PclewmJDbK4xHy0oVZ7
GBPWPdUdHVPAicjjlo7OllZUt2B+0fBOhsTnGgKwIiE+yPMJBiDMd+bBINk5JV69qW4ZLCi2XDIN
FqwImqTchziB3SDB8qTeElQojWvwjAyiCXsh0oZfdUzmixet3q8adM2OztBlcI95h1CO/ifH4Hgk
gXJx8GS5a+oB+kzYw6/cXcYnhXV4UXC23VFEBd8ANYUErOobCNYNUu58CJe4oGtGAagf2lW/QJRW
31iYzz4xodwrjAIJ3kSG6AS6FaLKWLiQLfvuVZqqm7MaK/+ONpHZwxw/vQI0y0YZ8twHbfEBaKeB
AAyKsWOXyOTDlm1y9hou3pBxBcuP6dyCW+EeK7f8hOkmRNpR56J5iKDKdqwPKpFPMQwhzrPpmVsE
UNJeaF27Z9+Rdbvt/mNuHH+Ad6sKMHB680cHXiYEnclSyjSITAFNCoRm2oQJ8jndCDoc6N/TvoRb
dew2JDeFtNMr8W7uEq8+LIsKyvNcAGB7JQauEBNUzZpGboNKgPRWOEx6vWUZPfgI6imx5ZUdmPFH
Gdqh/vCtaf3//v4f+ns05TFgkP/MoB/7L2DZYID/d3f//TW/d/fBLwCekEcQuAST6R8a/Dj+xY0B
toQIh9hI9W2Q+J09935BlAsIAyS6eAF4EeB7vzf40S8RvrG9LAFtQqP4/9TgBz/KQYDZez6klUkI
Np6EMUbZH4ExBRtcvaJ3OTJ/Nbk/tu0rCisrkY/hIjq8Ql8BY4yEbkyCGl0gvifeTVhN3WUNGayd
sPLzgrm1/hIpwGUQh/YvCcg/kZaIPoK0VjldbgSbd12/9v/L3pl1R2qkW/sX0Yt5uCXnlJSSUiqp
VDcs1cQMAQFBwK//HmR3ezrHXv1dnxu33XYpU5kQvMPez/4Cr8c5mQw17/ucETJHXe/cIU0Pl01Z
wF7ZyYh9Wu6HTwHep2uvR3Vvqve67fuYqrl8oVjv30ATKGhsquIULE2h32XFuhCWDWIzSjCONtyt
jaNjZwjScif8rvyaGaVDMd/XPFhnu4e/yKD2VOoOoSJDtfEunXXi7EczWVymd8xcd9g6IUn2TlRY
2AjxyXVRBtCepV526xQ8AHfOHCBSMzCMIMo1yvabkEK8tZzll1HOJvLjSt6keC6+hbVq3twhZwWj
Qvbd+VR2j7Mo0nc7s+04L+w2hnu1V2PNjGDE5qDzcLosnm4fPGcGqzaFeCyRvU8Bzu28vABw0o9u
5Sy4UXEFsU6CDDyi7CvHjWrGnqX4KuDKgwerk5GNJ7P+pmVlIWFlMQNPQJySoRiewJjJbS4lG/Rp
do7JQmXIarFszt5APVnMy3gT6ilPTou0urNaqgx4depFacyGLrgNzRo1b4/G6cWpxfhEKdsjtoCg
SjOiLNa2ZfJ5oPg/icnrIDdGaNwWu4jBijHEW1B+Tyx1qSGs8bUqZzx2XlT3t1PSdzeU+Opn1EO7
j9N5MMqtrNzsXrkNgmzEwgWUnQjBp8XuGZWH7lGr+mP53s1FtUul7rwDRtu2ju1ikl+KArTVZkq6
TsRl56QPTRg11pFhTX7NROm82pygj9Hi8WqOGfRPlrChgXWZe2PZhYJSNrbZ0XBWi+rcCsZKivSP
Gd1FmtXVxq8L/WY0aX9GShr9mPop6Pc4ylM3xo4S5nRkXXSNCn+ZNlh/WuNzkUIlyDCXgg2ll2tw
5yzlN1e0ThSPmV3uUnOpt5E3WDwirOaZ77H8NFkyewh0Ie+kNWfnoKdX2Fnt1N1mSeOSOQIneMvl
2j6HTmfep4g05daAnHBrtal71yl3xJSHHPCCpZp8w3iquct5rlkASxHHsorn46GAMMUZQpXJ/7SN
lbL715GaC/8qW8CNQDdNUzdI2+EyLUdQmxODSkTl13lSznymCiyO3eQ/WCGqFYr8ZeM4+erz7qMn
wDGB2kmNjpQieI6tChcM5kc3klhf7HbT1NJ7GoEriXjOrWEz0IVsWCCZF1fU+nb18R1cxposUSWq
hXJOd5Day13ojFyK3C9X1LpmgLNFVZ90Aqrz1h8HnBBBLpcq2rpiGc0nd5FTDScu8BvvQo9lHKex
f3ExBD0aZRiVWxqw6cSi7AwD1b9rhegP9VDaSAyq5SDGen6EB2efRqBO9AdeegpnWT0y0eivFZQE
NLUFHFInqnaB4ItkboNjW+ax1WUXRtHxWKMTNYf8ljGrmHJ+kmN0hzFIGGnn9hvUbC/2CuNcFHaM
ARo6XGhJfowxbTQa/5fMddwTq4p2Y/Gx7JkJyfvcdN+iUWAfWRzUO5My7vAsJ8d0Pa3n0XxtrEHE
SZrwJc/fe6luqJarTTKwo83tYd5YUWnuIaV/0mhp46poX5AXBKc6FN88vjHWgvbVpLneJkP1Asnz
3p+K4mHoms9u4unYnm+CnLV2jQ1f5U5NWxMMmwk5L3VNqbC2rcopNkPhEXpluZn9hmKOUW0QL5l/
B4JUnntH3gxFku5XnunBRgbPVGkuoYDZgbkNojI792nABBYu2/KWaSnv8D240OOs2OYyuvH5tm/N
tLdRWI3N1cQ7c4BRahxAjHE1ze1yQfhQMMBuLRWHSCAfu3mOrs6CzGObgk94LA093ftR/z1oM/Nc
4me7oTnqdoacwnojPFi+HLOdUcchl99zYPbp1qMB2nbouXYLXLUtHJj5UmlWnrOyQOmuGwDDc+XF
jvJHr8c47jgMr3qlMDP0Zb3p66p+UlWSPHp24uIX6XGi0VZuHb6mKDGnbWk72Xulk/dMolm1IW08
2DrSN0ApnatPS/g0TvSPg+OfZVA3Gz1y6RSG+erJjAQQg79koOo2bPHxDZbBN4xA8hriAVqnD/Pe
gaO4H6eg+ukjIrgs006Oy3hLJwfjoYfjcOGMMW6LIQ9w2Wd1d/WqrNrS1pY3CEqIhKHxOTB9y765
VcW9FbUYdoNyvHIRVhdYwwBmvVXvS4+/y30U2bDVHwJXrmFLRX+qF8d5qJhsgmWd8bVN1hcPLc6u
s4zyqUbcF3tDYL8OrQtKa2JzwpWRMeGjLqBod4NmP+c2whzieJks9fkNftEInMk0H5sw1yd/4BGp
y8U/GRXb/V8WEf9XJ/9DnUy/6jOf/t/r5N+C7X8rlH/9Q7+pTEOPRWAQuv8Rk/5bZUpCsm/aMDsC
fwXZ+Yhe/l0pe6TEkdAL5yWwHEhrVOu/Vsqu+S+S45yVZW8S4buW3v+F1vQvG6Z1sRR46HkIDAFn
9ycFgaUYOZhm2p7whMLDLJvUu3f6SVwAd4f/tM7689Cd1wJihlQBcS0EsD/V5EqauOhCqzkF2C8u
i5qtSzE60cvMJ3DbdUu0+91X8T/or9af9wc1gYdE17U5O0HtRKjv/9gD9AZxaSI0eb0aHyqyT7KU
4kIv1mXQrnNic+g7O4xPFgDy3H7++xf/SwMCpM8ElMVugdgbmqc/vnhnmFK3AFNPC4vJ7xyA8Asq
HD+3s7XoK4Vh9JLY5j/9yn/ZdfOqfFrMewgZQ6fxp133IIein8KgPvW1pR/KKhu+s+/MlzjKe/2Q
mvN//YK+xUXKy3H1Ij37cxBOYUIjssE5HTMjaW+CUITbORsiHCaO8QXusf/29x+r9ZfPNSBekY6O
8Go+3L9IRGZpmUvK1PHI6J0Z8Ogn0r5flo7hZDiRO0ItkFu4ehp3RQRa1055zUvD3G7aZH65NCs8
JLgOs43QsIcrC/REZPLW4mnzebbDf7gKWHj9+SKk1V3zuLkEyddC2vLH66Bh9JQW9TAevQAewbNR
215yI9PKBNXcdox+u9SaznBT5mqlXnjWM/fgfDWwGx1R7/r+OZdkmnzMY1MHmmec+WtEGklKRKEA
v7kAeqqzszLtCt5pr6xLbeNBxwvvLdaWRpjG0OhzGEyzvTAG4wl/wZNk9LsxMNsbAaHhag3sUJM8
YgKz9Kr1vobKETNk70WrHdsou7jpHU8/+JwS/hbcYBkdC1MZr0WVRXAZV1/oicKD9JA4kLORtrEN
/cz6wVWqqY7RxBb6bnAj5T6i85wosjPkXL5XIAxGBM+zfD0I+rnmPuXJrR+MadAPUdlBqtFJJ954
3ou3hQXQyYeW3DHTVuItrB31YEpJZRB1C8cX405siVbvvcMg0de2r5hf1yoRb0426KvRGdazNyDr
zhemT+Q62c2pmSP9hqIX0JXvWvCkJOXedXR7flNRuhCpEWDAR2ny5MXGeN1vx3Dy3quRzzFkd/CA
2dR6HiO+tCXsopcJHvG7b/j6mqeoizsGvc5+bvMhRJBgZMhVYWBff7lWMzqlcZM5+TTe5aWW3ylL
jTxmrCre7FkJeZATQU14yPD5oFZO8vpUdljQB/Y1UTjuBthXrxlq6ZdQcJ5uB3D7elfTjRCi1/ju
eytD8ZalGDfTro5uIwrcF1FhYY8Rua0SkhJ9BdPa9qY3Z75+R7T6YaREmbbKB/CKX1mKN62LGjFd
Wy6wmD9WBUBWHOzaDENjiFr8rhMGuThM2/748fm7evCAmDBtyEqWkYjgMrnpSO26fPw3+DybTT2b
BefGQu/J7/qYBYPaTvRptKZAZTfZenv4APPFEZRTktzg7zTFRskJrF2nQ8pamIw9OUN4KfApVqFZ
XIbOl8KLwxpA95PwG8rXOGl1ovYwGeY4cQz+QFPllnmarCFQmumi0WRnCXDGOMwmgt1tlxpzcsWF
5lVxBpxDIKgg/ObWhsz7Btt6+q5gxTCYLuSSP0yzYU+vko8/O8imUQdpEwoUL2bZxkbIPKc14eSS
UuLxOctn4STZKkFkl9hEM3EyFXvgTp9Aprt7/NzOxQNtt1FqOtJC6hsaalwCcOU3mUiwfZJXcHGh
E22wNFmfpWl37J5mOIOztu4NPxuuE4pvNiuJ8r4MYLBdri85kdYZ5fpGAfs7umGb1ijf7JaZLC1D
2I/pdyxj1sXHm3hu8sy/CLOJVgW1O99azVSnMdcua9gF4M2hEcvwPUKsN23Bn6T5los7OrsJKSxb
0AqwD60gSF6chtSNrWW4n8jwYzXRd++NBcunqEzPpYd2OLKRCKxTX5zbtNClJ79nFv/AVH7UVx5z
XMt2gobu6BsJT+lVczPLQbx51rCuqDJM/wHqFLpJpfR1YYL1omEpXIRribdZrg40VU7vug3Tl8Lz
OTBbu3ymbyhei57gn000e+RFmdjl8sBxTqGIAHdEUQJiYArbZx8v6ZIXDdtHw033llOH3tmDNBm9
LlJYX+reMJbTgrcsPDl4PJ2JjlXqvYM5HCmV7Thfl1R5PvsC5Mn/4R31sshOWHmegyzr/n+YR0St
BE/MPcsAKMt08hxmmFtn6qzN7+FHrNjvNVATFKuuTdjbHylI7mzTmxqV6/1KQWoCw/0KKor/XvDE
6j95KP6Sr1E45T2pFiJp90vYMse303Jklw/F9bau8pGPrqbrXiBdfp6DsD3mbhPeY2AxtwV31QG+
XE8/jNH4Dc02tYgYvPDWmXJjU1qKr5VEj36HzM3lsCADpr/0oZxPaJ/CC7BJHguwY7BIVr78blZF
dEufxfFW+jSecTdypcjUDLegn9dLaUwbOt2stS6s3TlL2aFzphcRP0fhoDr4A0ImOizH2VQkU+Gv
HgveEwtHzErC5f/IyoZLUDtpdOtXiIgRRZSc95BijnOmOAeVx+7jAPouvIWahZgbXCRaDB4m9YaZ
uH4QDi/ve1NXHYKZ5zhZwfmBzbL7vswFB/7HEcjaD4QH5PD10p/MKnsgGhd7N3gJ93YaR/NArgM7
9H4w5PeGhho4gdPz5LcxubwjadQPkgZ/YpGcV/2W5JMqQ9jlBVQMM33N4Ze3ZREjWh26rKCSSAyD
x1cAZPCmq/r+qOZRPwyK2rfGzr6zlqqZz/Zk+w2surl29R3xDbazMfuofZvsTmT3tqd413kt+F2n
dWa6bdC9BVcXdoDkaeEThlATTpJ2NK9TaCrCRlLt+uexBIu2AfIyPyVG6735mcXBOvdGcTuJXsMG
/R+5Vy4bI8m5GFhPVWuYZzFmxs+h7yJoY1OkY94zVU5uBNGLrScui7DqeZJ30cDOmSglQeaEbsp9
H7jlwjvJ108U7zEURW/msT6K0OOB2XNUPSXrN1oUYPmWseaKq5iiXAg1oWsY7MWE3uVJsZJzQtx0
L5YxY57mc6K0fMJIa4xPLKQrNI35lKVZeK2YteGaKUW0OOAN0m7O93OZG6kF54lqOT1ofPfgFyk3
KpMULEZcSblJqjrfgmYHSeNDnYJjQg0S2OuwBiDABS6G2pDQgk8LLuBWE3p2ropF3PH1d9c25GQp
VcY+z4jyswHeCblPxqNnDusj6h4LGljA5necPH6Pzt+y/WVWF6DkwJzLONZ5TEOOdAcL4t4yU2w8
i4XHHxHTqSUAJWYhZ10bUKBtTBnCRBwPIPEnVCSDX5c/CRrx9qFqk2PEwh/2QYcZhTsQVYTb/Gz6
7qdRzfeRdqcT1zWFwcgsNxqEee/Vs9oqs974cq6PemSmTm2cPGl/nPcFD1F0IBn0HIjnrjm4d9oe
m0e+bZ7Lja7OPPnqg1uXKIeYZG/C2t9hLrgbS6BeaL3me3MW6SeBj+mtb23n0qq6aDdOismBefqh
iirSJhTgAutK5QcXAav/T89PPOSrYCVW31NUAENqwBcgp0Jc9MPrfL4QF8czcbmIyZEwjGYF9X82
lNgYPIGZp49qPUEykxOC5xWn4VC0N2NnGyffmTtxJ8tVnFFnnDa533NFLirhu080aqqHuST8eKMo
u/+hFV+7jj+0xoj4aTg8BgsWI4g/t/1sv4qIJ544Cu+j6FfY4eN+LXz/vl37S/eDkRWFPLMM2n4Q
0mu/+jvTAKTQYSzaQRyrBopUPAaBxbS/N3CNa6u98Ve00fnjOPz71/1L68/rsk70sJjhjqdT/OPr
0pJXTtFqcdRF5b8PBqlytdSVRiVBHtaurZv56vsZZ3Gn1ir371/9r2al1fpFV8wNzpv4s/FrRj6M
dMpvj0R20YCA6bOfiW5ub4pActoPKZai2BQ9bclaeWNO43D/eAv/N7H7h4md42DC/t239Rdv+PMP
1qa/32v/+id+HddFzr88stlBZEQ+ln4unv8oVy0TfaqzjpNCzCks0LnoflOucpHxr0jvXkdOEffB
r+M62/tXyFyEXbf5MfjCZf5fjOsssrD/eOsyTPBc3OoBMwUSFXmtP17akCgM1bVoOj6AGspwwexU
87cPqMZiGd0uMyyJerMtr8EU3kk6k8++Kron0RIhYvbyPM6Y1zqQgXcfuI05If7moNoie0BQZ7xz
kxJ/57dmR6eQYKFFe5jKhyYg5AUZUV4iemM1bAWnxepD+4Kn12w/yaqzKceNcmmdgygHIe5C0ZsB
vEgF2UfHZQRv0CUiuSzc/bKkJgwwMRF3+ImgxoENC1TqyjpnkfYZwdtJNOyCzHTlPqtcW5wHFwkJ
cwLSzJDDamS5EWUI0/dz0M72izunknHQgiGUOCI30eEB7cnsncYcpCxaTtxLxTPiN4OJD2RKBfa7
9dr3oklInfcLNsKLLbXsdrA9TYWdW66CLWT+hYBmV7kSGHML+AY2tdyMfoQYrLAWmsAh8ORemQXy
YYJTZxwRbXGsU2x6uskHaqHGGY4FhKjdxDz3bYYiEodOmh1zmT+lFVi9mG0GkWNNeyzs6QUOtXMo
hqmILWKtj+WUZguP2jR7BSSJ2G1W+Yki846Ij5uMOvFVpixExmqF7ugsRTwTweBO/W8DC0Lq4emN
xBwswF2EU9cB/1O+aDUQdRpZxRkW7dc0b/udk5Tj0xKOEp2oUR9Qp77gKwNaGIjpQKsZ7EO7OaCq
vqolfwHU+bOt8uFmkS0qwzK9IFgEoTkOb20tz7Vqm2NJtvc2yJ2tXiAXy1n4N0IQ90pY0UOWkrBY
2uWLAI+5HXujBYepfvg568jaX5KHKWoZcZnaQEK6GoWcZEv0VnlwlWvFekF8SsoVKXMgalJw3xt3
Utkt6Kj+LhwmexfgkSW5i7TERi9ezBMaLbUkxzEfbXWolZd/DWm6z7qfZxbunnFNV6ZYU6Q/Eidp
7z1jePKGXD+RxlQdmBsjaILrfWxK318VJH7stDP6vcYb90PouSfOhWzf93a0J9/N3XiZER2UP/1o
vbImCxM2QcLZEbMpyyGB6fxri5ybRqKpd2nKiAJQrUTgyFpRNuwqvcWAdmuqamehw4pDWz9bXkMe
VFW+GBWKhYUJQy0x0XiD8erNiUnAsS7OWQeewcDF/9MZvf7LuASbwkKNUqJCZe7U+Wu9aoIjArDI
MnHgjh8hWG0ddzEADPh4VhUPdC9ug9BMt32hlnll+BpHuzTHK5IA+s7KLcUDRUXdYK7GlS+wP+/x
eQCOQ8wuNxaFPGottGuDaS3pIQfDjV8o7ZnNOgQCbrmwyiXGnvRtrDq6i0SpB3zSFkMPLos0Uog5
Qq3n7xCiTXPHRnQ+j0Pe4Dee5ik6DFxaGgCTvxI/ebdkg8tp+Gl13QTjCpr+3tfjmP0EMBVxr6Gk
WGKyZMV0wa8l3ySaUWXHmZste0vV5k3WRDXMiVBsss6wD8xF+M1KLCuoAg4B2ULvwDBs5jipsfMc
BcpLLOvzu3N2SbTQXKUMZuxw+axJLX0JcqBVVWG8c0u92lD/GDeVLbXsAA23cy/AwMttXzFSbQxQ
pDIErGqL/KWGHkUoq/DyO0xGyqIxXZwtxbf1QAfyqYPySUhs5ES3wq3asxUNWN0ddavGXFxBiRhP
lLrBu007uE3LiEKyjtizjmnGbUx2gL1L2kbv52o2QYTO7Q4iJaCyYRgulYRnzM9p9rRYM3J97lr8
yP5jvShnn3R0SEZXZTSk6qFC17HLZ3mcLDOziWNEOdSFSxhjiW4eicN5a0ZcVoTFR996Wz6C1s+m
GISXOkIi+uzPBZY20zR2rL9PbgWgtxwthyGeJQYctswACEA2bubRy+gjRosGhcUQU8k8nulMiD+1
OA/C+ZITinS/GKa6m/OowCE3MgxptA1zksJeBfbHdDQ9wJzQsTnZjF8L0ibAhh0YUGMSJReW7oMF
sTPPkDKInzSZYJ2GEimpP/VezGD+OoaLHZdhC82Q5gL4XhsdO60PJI1GJ0ZVyaa1NPYMP6q/zeQy
7My1+xgtwwDAUnbbogZAEuNol89RXkRbh636tnPRajBUPkVGBDHLED91F3xi9tbuFnzMqBREvkHd
z+DXhZWQNTrbjwAnzkbZfVflclcNyUjINtTeZQLORjprc8/qwbwllbDdNeZc7Kd8ME8LC5uj4QWk
popVjNPgVQ5TOnMj5Hcey4JhTl1y3nU+sGHmow2NNhPb4YtNAt6NJ5IktmaEDIkzzfhoC+uWa4Cp
dO5mm6ksf45+Fe21WL5Q0q7cvoizrJi95C5prcSOVcHRD8z3K7S2aUMURf+QlHayyZQlL5NLjFJW
ocbzzfSttbyfIup+oCWr9pVHwaC0+1pDzt7UpWRKFvKjlt7tYzHq4Wc/utgUJRocl0OUpcOUPRD7
VTxGditOZmgvt+wJ+BiC8stYJ+aWwxTSfpur13BueWAMzlOe+1BPU40lVYOFGf28+mo32B9rSBOn
0a3JbVUBiPjIaPbU9PUt5tJpR6Kou0EL9FXCScPE6QfxFPEeJoClOzPqwhemsstD6UgSjFdLAyub
YASWPZWCt6+Gsnjjti+Hu3Xg89wFHn/WMeenfoSYXOlpg/UufRxlNT14BG29BYX/RKcDzrdKL2s0
35HBeupA4SgEKISEDzrLM/dT5JUIaDwfNd0Q7twlITejkwGwvFFN83bpIOjlviKCOG3t716jG287
8z3HtrDae2Utw9FcdHAMtBd+mUppvo2m/kbQ1XC/mI5R7JTK1LEQg0Oz7ivmRSDAOVnFoGIvm6Ge
qIixtkdEljDrawcq6woJAp4zp6ZBiWELwNmurH7K3gnRhssi5Tulj2shX/b+QQjL45Zp8OAfexkt
4wZSsr+dU+cJcg342cG8JYGp+CxZRn5t0u5cTVmygGTI0k2XOt8ZEYKWZpn7zUoLo94sbC1LEhbH
VaSHESDOy6wYt9qb9TezCqutaEf5BGOzOyUcnncMTqpD1PgPi9/cJG0wBEwk7FYfsSEiOKERD74n
acBuwpYBYwsvf/VE795ZJOptieytdl6OF1IQAgsHsAvqXTs47bV33D4HKm7Kiy7tkHlL0jL4GcSY
bhcIiPUWC8p8j5CjOqQWSZ1JMA371XyxI+FNovz3jUOBfrU+4GXOXznNylcecePnatLmE86s5GgW
QX4yvYmKN+n8c9co3E45ZAQw6yCcXlI7B9JBADOOlSXrz1jouSEytEs7kVfRGXeJ2mTg+stYu41g
FpKSRmzK/nFY9PBqhgvR2diCjyE6uZu2KIZ7N836T63j9SX3X1sQo8k8qaw9mlmqK7zc/cDklvZB
Ts+pxQlL7odLWMoSCQcHeCVmtcsL7ocb/H6ECIbA4T5NSbj4n9PSyJetCjVP1hD9HDdirwfGhb5O
d27p+ngeyuxNBZOPhSUYn6qlYf0F0NK4qxqdv2Hsavb43gD614uuTrCBGUeHRQqu1i2NMJb1VL+a
iU4esRs0R11zvMLceppqamPZdOPXpm7arZEFwHuGJb0BkMsGv1Edk65a1c84bcEBmIF9QDhV3sLQ
6/Yzwrdtm3bVRhhLJWOvF95+YoHyyJgdgrq3JOQL4bTdqcIab5EOj2i/iubI1i59sNkNzdcwKPr2
XqcQi7cRsM7OLzeEqdkUC7XIolmGkIxsW8jvlJt5iOynDLrJfWqH1C8ZD48z8l7QtEWU1ahri1mB
hie8gLkaKS3VIgD/OzLjHAWgoimdfOc4ZL73aocrZGeZUhEc+5J78SsSg2RrYgZJb1EckiHCJdwX
OztMpy3BQAy5SiPAMJmR63Or0MIeRxlZV90N9ALoDg8LgsatGmbj3E29OPVck9txcPJbUXg5OVdj
8LPuW/fbL9jgPu+H4oDv8FmWBKC/WRZpJLUbTXcD92McymXxtuAZwh9tKNKjP9aU4NaQGZsu74OX
pZhMpFeczjtyecu9xGfzblJY30yYmeIK6GQbCPPQ8mPPHzhiIXLxOdNufZ0myzsvIp82du2Krcd2
k3F7VsP7L7Hff9CJza6UB430d9P3RXtxSYXYOrzHT5IqcjdoHW0WxKa7lGcdxXk377TdD7uxCk6G
aNSWMB51HdI82vfERb17rnaPddkjWiw5mapWhHGQt9khTx249O26I8lrf8WNZtPXKjLUobJdciiy
CMxyf694JywH4B8L256PnVV1lFIEtgBsChmMMzbecd1AiY60t+vmkv6GixKxZZHDwAIovAO+ktGN
GOUXSU0ft1FQH408cchc5UnSTH4TMk8f5MYwjZmoIsfZt8TPx00UGPcfXGVQ2MdRl9WdLlGoemnj
9FTgUJarOct+AKF175KEtHjilgknaQ3uXcnBP4piMyOw2yw9ooUePBcPnWl+xGMWXZRG214goj6W
fu7t7IqVnCnb9pyb1kOI4DxG1K1bRvfpuwxWrXS7ctaF1YWX0uhIwq6x4qK9dUHUR87bh4fLmdaV
co1U4s0Q8q0jvwRkVHhwkUMQoiDUd7Ki5TGEV3ci0wujEI3nag+CgKubtNrMpcP0IUj9rb/gJSBU
dKf4tmKGz58RGd1kKcqXpfveFNXnD1o0Bkaz3Y1Dwx5YO86OHAqb6N0oOcNJw1sndRLXKeo+ambL
3BgNo8rdursYU1d3ty1uQK4WGRwssww2do9rqIKg/sD8gRCe0dVjuFPCVBc5UG+jxiDqZh3/6FCK
U9R11W5hQXNMCXT4MTW0aMVQqGPtDgTtGp39WAwBEwHRfxsyPZyDOseYx0LxzFxrm2WzYBnqsx+B
JHK2g1rheoVrnebdV/o1SrG5AXfgLkV9akahyk0K9ehVDQl5XGq6cwCYv1BKPedG122CfghuMp/t
aKcXCsc2OyXT0kmE50YPP378ElkdoL/ZQcVpv5BVDOJeuezDffQf6CfC10yzhcCxxYbZDBWGvcR7
JmyUze9S2tBus9vcaN4gLcvjLLOn3rd+gumk/iMBBTOSaMiItVGBWNXJUY37XZIhvUVJ62yFUb/o
IHR+CgHlfZ8S5TnETD0ovmFqA1f162s4D3B/27RAYSHC5IsysQAgVFEoMqN5uhLxtrQYeZOEsdMw
TXtPQpCh+K8tehztHUrkLdeGAwsgiuPhbCxUEhC+1meDwZ1Q73yz7M+A0uMJmKum1Um2fFUiuCuB
XNwrH2cWWxZj1dWUuYUMgF3dTpHFLHejmQlk3kDg+Bv+VdmEP+3UvrpFy+ER5ghHhFmeZ4+HK4L9
b0kpMH1j60h37FZIo4bVDYhen8lKJvnFtF56HkmbatVTj/Y6CxRNCnRuJGrR8tflPOpu8te8Fdji
bn6BkJOJg2KhaMdjoLovabicATzhNCMMj9QV4w5QM7VOxVKn6IKzsNSw/41VDopdx11kyk1Dqb+h
MrWB7na3faoeo4Ktb51zxQMlBlfRPHauIIW4RrvduOhmA+PfJPNgqY37yXZfc8tFaJ0YYstGEDpT
5TSHzBTpLm9ri5UAzVnvjRIFYGoyuSCbwyy977/RzotkypGfzF/KFEK7PczOHjMvqM3B+Zp4ynqa
Qq/c+nqeekheQNA9Gagnzj479n0PwrXZjee+YxhFOjpOfsO9A3RtMGch/nzXm4SLR35z5w6V3CRw
9UHbEQI+7gKIVwQTmVl57ng+WqzQ9mU+i3dpER2yorTqbWksy7fSzrCaW3NpvLd+3d8HZmUcCx54
fUxirz6GpPDeBiUtEtr5ItuiwTr3KBh2DlEAX6mzuLVSUb/nhRXef4DYwbyM34zc//kLjD3KDHnu
GEM/LpoQLC8njHvzG5DdtjN3ufSAsZD//AZkjwacgsvK6/uFyu6XsOKFnTd4wxciCHIB/8M1E+Ni
5b2nfuGz54l6nlPvExXCr4h2NqXDkftg3n1w2qcofJlCnxM+a+ynlFi2DZk091gGkvdag3Is6iQk
QmkFt1frBvBmsilqbj/o7d2gSGZyo0HvPxDufZH749ltOH9ifzBFcfgLzb2s2ZI2NDeUd1MryFX1
2/6lF25303X4dtAEBRFBy4SJH3A6AWXkXEBBpkmbnHLPfCYGxvKJSRuX1xGe1f/Cfw+4ejos3tNw
IBk8v10EPowtD6woHlAxUDHNoFwse2C12g9rJcQp8/b/2Duz5biNrOs+ERxAYr6tmcVBnERRukHQ
ooV5TAwJPP23ErK7Rdq/9Hdfd3SE3a0WWVUoIPPkOXuv/QMYPh+y/tQQn7f5kQ4fG8UIG85WD7hM
eppPZt7AmZxRSDTCCJ8KBIGvbgLXeVfFUawYNc/z/ZxDsNri7/kLFe9LDt5KsEVTgv7Ii2dEQFov
Zf0iPcbxudfv3GaY8CNF7R2hP+ITdqQKy7vDgr10rnUr29oiQK4d/yLKs5bVt8VijJ++U+WJ5R02
Jb7R6242+k8o0swbs5zmo2gAO3F4lfYdnnn//h95870MxgchNGOIkTBPaV2xrG5KN6gENWOS7P6O
nbc78Ek3dPgRKP0NO981JQlLfRdnO5XL2yWW+Icwn4q9Fsc9mosfnzPc/duqSOZvK5Ie7jaF2uJh
jF259ElIvAXs7BQeNo6Ew2Sw68Zk77HZg87isENMIzlx5JmgkUCiUF52kfIvxsns9w323quGGERJ
ZW+ZVzXEqI99VvVqg5iy3CXG5Gy9zlmzQIy7Jm+bG0hlwalMLJjg49Icwbc6W7vJiQ8wuqm/XiH3
dG8J6cFa8mhS3111dTsdhp7qn3amT5fGSO7nJBu/4+4Vs4xt3MjyeujDr8ZowTwgUenkJW4PrRz2
fTjyaNgZXLO0tS/qxApuweAiZJvd8ewZPkQxLyp2Ts+pY6Bi3NJv7s4ywZK4IvEDL/y9CpS1HyNs
NVkwv8QzIRfCYRwbBRltRSsq6ZV185OR2sS/dqRurMh8I3CCY4I6cjv+m5tf59VM2mNApIOtrJ1n
YZPqXfhYhrl0n1PIdVuOCstp7hSQN9+Sw23g1/SBrbAodj/g9OeEzSYj4DinnzXmV4bf7iaX8Q09
1j+5+lYOvStEOefmC39uRnfSVvOHCeffRoz5UyjFsx2zWIMC2KfwuHZ0Sl7CCnkKkHwiKhCIIJ0D
v4/mqj4IK3dOE9h8J87QkDYcFRyXpF3YdJs4Xj7Y5L9gWGo/NbLNbr14gHciThRW/XFcnPHLv0j9
zOGxOC1UyOoNrr8Ms/ZuGtq7oRYFCbJ1wNZu6YNgUhgfMKWQOWyK5KKtTHEFrPTVMfzhmjAT8uBY
/2G4apy/A8u2n9wBxaS6GhuMj13Rfvrf2Lrq037+xdgaz4hWuv/caHL+o5N/zD/Orv/8sb+sJvZv
KMw9H8E0fo7VGfIXdcl3f4MipsH0pk8CiXjjybY99JhaUS/87wPvvzzZwW8wBbSMQosZADL9R6Nr
234vBoFiZgL8hN/K6BVE7Ts/Bh2mqtRzqVM48kRvq46U3RnFcH5JWph7qcyuHR9iGprn2kyT4WJM
q/4uaYyxPOYZxQ7n7rEgfzIPU2JzBpuQUgYcoiGEMsYGmEI7l6jmcqZYcUiQzaKM6SbOrcTeWQQy
PiqSgJ+9anwprJnzSlE+jjqKDpzdcie78LFuSI+jauCkXHsFJxnX8uWms7PlephoM2+CLLDupVcz
rWBrfQ5zK4O0aWAcrEgjOku4BkhLAoTtnEOQb/mcd11f3ZQcLRHCWtZ9tAhjX0oj/CZFh/ERSyzQ
shHG6kVMs7xDFpM3L/Zo9ZzeJA0FRzLa0BcK6XWw6/zkd75/YOKIcc0NaPTuApY6YapaslBTCQ0X
C/P1rW8P/KB0JylwJtK438DAKMNPY7a0MRtXYD77Zb9ce81IV06EOF1NtZz6SXYXozHw6lYwES+T
GTMYzj7cTmltDzR6QuYiqKFgM03SXk4QGsD0iCY2Pg+D7T5APSnLDeFi1hUiTtKbJtcqnua88IPd
GA8WYSJkz2HDNfltRZmoDwEKym9LMoVbZbfQPROVvBqFBIQNiPS4vj+p3xV3NuHXIHO6C4HKESEW
wylKM7+aDmY3VMdhgEVNY2g5pDUXmRFRv6+WkROc36fiKg6sAdnD0Of5dAXsKElOEaG2y8mTveYR
uX6ORnMho2+TReR6VaCSoKtjjOqcHiZYNjLqTWPxTHUSUOA2c2Cic3CW0wAv7DkMmvycDRLLeQ0g
O5TSTfcYr9yHGqrHE16k4iFpuvkZEaW8gp8UPmbLGBwSW3TejqR3+8wwOb6MWichJaVhwUebfGk0
fNkwRXNmx3Sbt2PNh8wWl0EkcoXqiJbF2eRu27PZhr23UVmzfGY4PB8DYN3HohD2N1I7J0CLXclw
1bIRSSNozdL8gJytT27youZ3weJjalp7iD+3zne929jVJE329L/uozKcr1MSkwEo5ulu6c2IMX3J
EHaMp+CIGJuxfpHYT8UQ5EfStDingiIhcFb1aRkcc8uUD1gbn92+oOvpYtYNiGXZzmNLDzUbFmPZ
jzSRSsIo+620PO+QBku0dXzAyAPspHMcBZhE0iHo8PoU9a2EjHknDRvsDWlht27qWGeUvyjPRRvv
S3xZMMi8HmyLs5wTR4tRc4EIfipc+6NCErdBbkiXLOo8HlQ10YZFmbVFMZ1yU0HwP1T9iPi87gnq
hjy5EHogjWPb2PKao3z2QQV2zgB3cm+RPYs9gxEKfdOXGBHisoAPhvfUuSrCNqXdgmX7eVyM9DoC
Q/t17rIMN2F9AcqLTJ8GQ3bl2d4E8qYmGBCFMGMpk595WeDOBjsjQ8F6iklVfuCMDEBoGqmEhmS0
sRXk1fKRcQatetSRN7h2uvNiNmTqeC71c+ubVK2U6xwhYrQW+4rKDXVI0Ts7XApyj6+cPOWJhcLa
kApHlI3nzZeM0Ou7RC3yU8jnty9g8KrsoilrHT2zAAIYoizRA/gBRCxjWGD5FSLkDcdeWKCJX1tb
v2q6LVPu5NHzcftvVYEGXHRldgl8FBgyqlG6epnw0o3tUcl14ag4o8dMyeaSBAQTIU5KKFIdtf5N
PQ/GY54XLP6DYGofTiqzeYmib7ZLsHS3XZDnZ79CJgmZdrkTsITKnYStDUiLlQWqcPQtVCUafGy7
O2EtNNzWp6jxWLRwBPKETuAmPcNkWR1FPbJqzOwwXe1VR7B63UVT0X3lcZjEveXqF+qTTu0qIXkn
OL+X68mciB1NJiOsbtjt5xvZ5fWMqGPp93KolusOqcJ32uz/VH6/KJdseh0/9eV+eoHvUsV9Xf1Y
Lv35Y3+WS5bl/YaJlsmpG+CnJXzh31I/Ad7GRuzHtvlDqRT+BvAeOSlGR89xyHn5l8rPob5ycF6G
1Fa+41i8u/9A5cdL/KDOJWeOwYoVWuTLIPETf/OOLvXSDoYc0F9QpCzbKlXDXYcLjfV9auWXH+rI
X7pk1xeDjKypPKEDoOY9Qjp2lUOQa+/cJcbcfCb3SjzOBC8+AQrmvOIJE948BtuXcMy603/x0jaZ
J9ojy5P2Th2cGrmlesYxd3AteemwM8L9OE+4fvzBQ7/P6RDlmNkJe0taC3XDz1/+rVlWf3JElAJh
MsQhvrj3Ly/gdlRhVth3Ram9zwHhjjRk+mFpzmmtXw6gTHD189cU3CPvvltelFsFRyjecn+Vd/6g
iK6aKhriJhSgECrxWGFyuhBI3tqDj7juabXGOKnNiw/W0Mkj+un+lQUyPRaGx3VovZocNj/O1Eka
XRztlwVbCX5Z+qa0JokxH5uISWi61Iis8SgB1lNIEO1fSJzf1vLfr52H99yF7wQ90nlXywdTYA/K
T8SdNdBUygcw/qoYcnUIpLIeyYepL4lnlK8/v3pvhdV/viq8cxzVPBj8+632leXZz5TbWXeZNg4x
zkoZiFfJNzNTdKW0sdp1GusGwQuayVVu//PX//uD6dtWwDEKpCL3zftnZQxDAhdzZd1993fqB4a+
ON7KsbVufv5S1j/cKLYV8mQFJi/4t4wE4u16UDSDdeeQ93dv0PzMD2OK2BExji1fVe44L8Ah9NNp
YkrChcLDYgCKu80Aof7i6/6nD04gFaul5bvIyrQo+Ye7VhCxG7ZmZN4NfctD4vhRUV/RmjRJWa7y
8L94SDQ4mOeS//h/yxqwmsxMDXsUAO5oqTHdwaq3mlRXyzJKOYcpjsTF1Kbc5SEWoJtyDDkHolAy
YPZnS31peFgCY7Rr8Z5xa3DV55on1GN0ThLqTn5rxlNGlxA4aZiYQ3H4xRf4D8uLPm47Jop0O+SO
fXvNsiKOiIIPrbsICG57WHwcV+t9o/qy+dx1xIAUwcS6N3MBVwNWnC64ouUcticyC/AIpLmDh2yZ
FoZVFjbF19XW/PP3+U9vE5k7+nQCcBz3fZqLQdN0BHlm3bnESeA91o4Eq8GbYJl4LvGJ/erO1jvo
myXQM13uavZcbCFo6d+/Ytlz/jDzWd5NGOUu3b50XyJm1PzDxn43mLa67WwPKUOURpg1zDED2DOh
h3tIB40Vtau5f7VrrNeZyQpgGjwEqe0EtK64J9ZLJNk1PGzn2us3+vXlipjgpI5Slz7izTIP9S/A
/3yC9x+LT8L3bHPnCtjjGm734zOyBHnot+kc39U4cbZhMy/dLvON7ANgWgYaFWeEaZv5I0IZ4eJm
BNZJPOwhTOCebki9IDx7Vk24FZlARlj2/mFcYqM/JZ4cLAJuYsajsF3RO6FBRzdoUmtiaCrjfmf6
dd1Bwpy10yv0E7kzhcmTkeGV3rMFeECRtLrUCZrqbgCTehnIMrsSZVDfjFlEhzOoO44upD4Zz9bs
5x+sei6+mrm0dsi8aaeLeSFDfFZj8jrDY/fO/ZxUu7Rn/z6boVvam9bOmtvWhMCFMC0k9capJY45
PwnaDS5Ao3kaqgJ3tR35/kNIUIQJnj7mYAvoq8WC6sYdTVUPh/rW60XwOwB6hr8Qs/r8tAC7xBQw
DA6nf3x0YP1AblyJeEBr1IzR2QQd/gChC3iR74xxd0f+icX83+0rFw2cAEeExappbn1OZygEQieJ
doTmhk9xMrDt5twjFPw8cl6NsaAFQB/vKQ3CvW/1WAaBCbsvqIkpE6qA1YYSkIV41M53mc782OxL
vJCRzTiKmKICjYOVFUDkchhB7MwW7XHOKtVg+s0Z01k2X3t23V4ZKgysQzzXJfC5JlXBBTYHznFE
tn0NUJsjh8b5dzTTrNuFdhnfdMLpDh0xXHWLw2AyzeXZkkF6FmildqQWEsJLeC0Du1Yefey7BzJm
6y/AQd1nKLQudtgmeeVGUX/EHOJ62FRxtTMHvp5tEvUEaseNC3XfH7fcWKUJWpDMB4W6F1zohhiv
V6dFsqDcNG4eDTdI88uxCmTunKuKXIpHf4xqk1ZOQlCevyt9uj0ggWfH1/M7rIqR4N+IKAXJDbmT
GuSnpTMHyZIcCStsno1k9Gzebp7RnJ7buQwOgFQofgAG3iNV5EpXOsnOjAOKIVZw56UNJt/eI5Zs
CAWOo+IjRnW+sZnE2xumnVi8Rl/7fOnX4/KeuSs3CRCa/OBULb8DwG/zOQRXTdfOWvhSkasbW9Ps
gt0UTtxeVYxaA3YsS3bqIMv0A3oUywxbIXJpkcWpSb0KfIDVqIQLsZJdJiHkq8QXfuENeEoNh3XI
d0qwKB3m/E3LExpsy9Lm18+ty5vjxAGKA7r806DNfvlc1pd5lYvHlgwo/lJdhFd9T9sUFb+PKLdw
wjIGMdXzJ/FCexFuMoWPQFidoqhkeHEIXC5OJ9ipQSPY/I0usbIbxncsMat3OV6BEH6t7oXrsamn
BivqukZSwwVXkcsm6mdth24nkK9tqC+lBko/SjnwX9d3WyI4AirYOuq2puwE5+am82271iJ5gWrh
Q4XEiSREsCTDwjcyOlSGs5isR/Sm4V6IbL4fSNh+sotMkPkg2J57hat5pQHMgmtvlTMfikeSV8qT
Ub7i6FH3ZHrIV+Y/2GfijOrTzEeoHwU25lCXR432N7dh3H7O8pLqV6Vyvl8LhSVvcTmvvkChqO8z
WfDVtrwZ2IDZK0Awn2uhaQCQzhlEIincenUEjxf3RX3FbcR3J/S7JemSjUeCvFiRIWZmUoTXdRvu
XStvPmNHYTefcwFqJaIR9UKGBVbisSbNjyj7jneObYgKqq6nWV21Bu3x7VrgIC4Jafhm/ev3w8/q
EpyzUHuS3dlBvYwQHPRBg3zjenLn4CrBdfKS+DZWb7Yd3mAjQPXThKqmbE9odvQ7yXu8eLU+Qlbk
Zuowqk6XQew8hCVPd4EzwR8JJd9REwUUd/zPEHNNt68cYGi7Wh9V8qRMj9ZsURhgTrvw+KZvKmn7
F3yc+hKVr3ePUBdtuZEUvFs8Bd1pmthxMQNRl+MauzFR5tKNI7ey2yOvVrdOkM3DdTPFRsIIk+RD
QnMq7lqyJwN7j9GTNxO53MDQLLhmPdxXHEyp/5jlASqnvjVp3K5efxRl7ktSTlxTxRCXI4BeBMjw
UvdzWnFVCsDfV55mPrQhT1jj6ZcvJ9AsZCBTjmFC+EwXrr4MNciEcr89tZHNt5oKGRCKbuvrMJn8
/5oGg6tY3ao59l7Q8PK8El9GIkSKd2cXw0646jrJO1nvREdlFjrElCXAtajR9xa9MZuato3lbagi
MV0Etf6CspZcxQPB5O2p7CBDp6hvEQRwHJXkS/YURSLA8LERUNof4Ke4L3aWWY/CCDgDMOZja1Ia
aGVrj60tmPluWOdBs2CSaD57ccOD3loTbB39CdmJqJEl9jc6XcA11gPvMhmgduDrPoKHRMHF0s2o
gSPt49Dyh4gf+Fp6XaUtpEnj5NUV47ptzrTtph0NffvCDhI+++I2pMaIwKDJK8pdp2EN61XrmlGF
u2yyimXX6beTeHyKPI2clwaBKMMhbYgu8krdm8uM+8unNU+uBX6RjStjlqMU3zTDYu2cTWTnohzj
lofbnwPXSdIIstc0+u1phkxb7l362+696iaUKBVeKE3UMd0XR+mVhb8dPlXK5NhaDA58nRo7Gpkh
U4GRzeOnC5il7YNF2BW3SJRzoQk4tW7SbF37lMiMYx0DCCERcGQQtV8Q9pA/UXJPrBfg+1qkD+6j
phitCyucR3ac9d5FhMG2pvqmOykQk793bEN36/3pIHM7gpwdjhAZnfzaHwJukcAk7BQEzHhO4hl6
9/cbAjlz8K3xUYVuS42qMLKKCFVN8Y89einrXeGRLE7HVkTQKcD/HK22AsHm6m5DLo203hJRbhGe
6ZJJviUY1tj6raAJQYQYwIRUfyBjKrn7UO8QqksaujzOFELdjrOndWM5fARuOevRTbx62llFzJMF
9ZMdxge4cagbbhr84Kz2dmp9cH2x3HFS56Y2DQvlY48dFCk0z5eT93kJI9znYiPk0ts3bWM4x8iN
aQaxAWFgjEH8bpuxZ1Go426MDq0RQBKpVqBHNpAHtLfbmdeNGxhX36FIDUe1p1BTRWKXUTxq6REB
xiQcAt4zp1NIaqmFlofRgqp46oexSj5YOkXkomIZvcHxw7twg57rgW+Su920oqV77N2BIiQ28vDJ
1OkGFckRfF4/nG4dNHQPQ6DKD8J2vyZGBPYEUdvJLVp8Q9oVPuVx9i3GLrLxdTqpjQ0yZ9IDmdJW
bI8wltiR5hRFYk/LM6RCmb2nPJu5zmnDF1q704Ijacjsg1kF8wiRn4Z/MqryIm2a7Np2pGVt2TXL
C0726lQx+ifdrmkqbDp2TWe8oF7whGIxpMiMNp0UGEiUkr15bvXif0YCTiMyTBJqqsEh/lYUJAkY
taALQ5cNG30RTcZDnCHE2XZlwz/b0OIi2e6ibukAki5tTyw45DUXm3akxil1SdcmgbrPY/AoBZKF
7dBOPDP6oJxDxLic7JBHNUzaKtqYHW8vWuB85Dh8pp0TTbxTtW4mUcK6vbhpnWO41DyDPGzggOk9
3EK9/hQRwBYjttSLHSOGhqTQrGHJ61nTak/50SX9tA5uaw2EIYydi6kJrZtYuSGUj16+igVbL4YD
54IzGN9r5Qn2T6Rk3K1lzGq1aH7gyCtv13UzzHIWR8bx9n5uK56JQtebTRQGV2WHyn4XNbSvJuU0
n3P8Ppu6Z93rWh6hHuDMMY3Q3MJIOXjamEziA9aCLWe75CTcJP3DGT1T4s0aeOJ6HeXi5m14ZXyv
MFrgEgY7c4kKFAKev5j+BQc21Z8k5xu8FEN3rHs5HDBVY4kLZO++mPliPWL7pGXnhqxK9Hm4JH4G
gw67tuAkUXpsLN44e48JHWucRL59sYLkuiXWy8FaMrtm+Q1cjMKkSMjAIc5LP9h7cy8OvHLySIiK
+qgSb7lK0MZ+xPsC9ZonhNWZ087CAFFohalXomifnca4BcNRK/SRYRXs7c5WJxG7xtehsd3XLByW
P1BDj7iQlXyaxAQ8j7pK0LmQ5pVFUcbsM5ietYceYBshI7gUyWFu9y3YwLNrq/SGkHGoQZmXfiqb
Pn7wqPHVdigJc8mlax7nwJ1vQruJPiaGn3+t25nfhAk3lVTKVRjfLpXBibUgMpxxV48xYsMQ60/e
4f8mPL+Y8AjH9X464fnQ/RG/ne78+SM/THdwd3F8g8awjnLeTHc0ijTAmR0GYDpoM//FXfV+E5Dz
+Dn/X0KZv7ir1m+kGjhIZEh09h06wP/JiMcWb/tu4FYdBh70Nl2TdR/t/7v2YA6AOJ+GMKVdS98r
3NoWOGfGtLn3IYwahygnr2V/rQvMHgdw4lbobqYx9bZ5NNaTummR9TQbn370BspW3tv3CSnBhfrk
BqORE4addyUFSZWf4qUyp9ue/ea1RG/KWuzLKg22COrY+8QAPz3Z1HDZg/FYh6iEyQzPzmVWoaGH
poUAXFvnDc1JQdQdnxEWtxxaYqa6vV/cu1SBR+J9lh1EcPNDnqf1uK1sbxjAOHSYZpeiQTWCztn4
6JvG74HCFIR1B2EL7bQbLwFokC5LdkVLG7QB7LcvE+UiurqGUHlCS5L7zg/gV8tazbfjsEQhUtap
7NBj8olZ0xZ2K9kWDd6AJLlsmd7HYxpvGdZ6v6fT2H+Uo5dkN65Qxk6ym35IOxOo0pwq0koLzgPb
HhIbovYQFDwDpz6dH3y31+LQqJmfMUtX5MiHOL/JUogffMeOQhDbM7QmUBrjRQrR/HKZlHpGGoMu
3nOUeYEXZtyHWLIY5ltZaR383gPPgLe6+YQIsUOz1GZyG/gjeZSywgNJP6VB5hstwYcgn7AH2AVO
kE22pILDnkokTkdXym7nFf78uR/m1rvlk5CpIPKxVLuwSNQuNQe6Ibr7WRKj/s3vCqhqMZm3eHYJ
eoXMv3O1KAHkv3/XLo6io5Lk8U7QNyI/puzOc00UtYna+M5ww2lfIWc+R44/G6SzuN6r3ht3iofm
xmeQTvX9vXkVwzS3Di3B81fO2t8yvze7BAhNWl+hy/kr2HMhnGZbjknV3Dp5m9QXS4Van/4HjdOK
xgwMJPDxEgIa4bTIhpPKCgJt7gEJT8nA1cMYG/NdLdboP4AhS6edTxeteQLQ5sND0E3Hee0/dmsv
0lZKqxYgmNTnrI46zn9NnLyWrT83RIX6JIIVwVwaV0AhYuT4gapvpBHArtdtUi+qJiz1awNV91Ln
BuPBhVobrXIVSNLINZMTuQyiPoUmhnYOqDPBBtPauzW70j9UcZrepor5FICBEYlH3UUlTzY5ezo1
ek45f+OcoJalLhivliUd2p0wHHsLon3AoTKWo7U11+0mW7ceuJZsQ105lP41eI0JBz87VpcTrZrE
NjHEzCRITsr0DlcYfnpj0JMeD+O6DzLPYycr9fYo9EbZh6qNz44p7zF6ZlTkg/HVWHddue7AgYuj
+6avbbkcetjo/SHGY/is6PRBV9Bb+7IEoj46UdNVR/5QV+tG1fcnVqL5wWlDVV/82WJCkOQdMXRx
3vUzIlPsuum+TSAiXd0ns1NXUnrngkyxKU8sJDLRTFuzMaxLm5b+9RJl4s6pJp7HyKEdss9iVjOX
vDgAL212XJQdnDPM7fkumAylrpRFQenbslp2vFJ+DIJI7gsrpghP+a5qjgYLOaqLY98ZzWyOB3sA
+048lbhE+RHu7YAqaG+kDWNUBw/SY7M4Kf33QvA95+h1f8flm72gpDI+0nwZP8MsGbs9nkaHZ81R
I+odwqRKyzP6C6IUnW1hE/a09xIZd5f8BWfYWEZDTewKj9SqjRcsELEcabiCIxgCssbEUF84404h
X9tibMCIhMU71tljzYgKuLNr1OrlFGNTdCnOr+uqGfDt0UJ5tDgjPYHf+eRwC5MFLfVJM0Tle/Lo
mt55bmpBgIhmGPVJe+GHlW+imevFvjDcKN7WalL3VQQdvyiZEhEHBUn7eurq+nrBkpkdg7a2n9te
PcdKkezXE/IHuD6NigCWh9lDERwzNVyX+ui0zJa8h7lGUCANLxXfWQqUIJ46p5iX+VTauK3djNYW
GQ5nUiCm4MahKfx9Kve/euoX9ZTtrQOp/7fA+FMqv9aVTN8KZr7/1J8lVeD9to7dLYoWzXAHZfWX
vjgUv3FAoHIKHZz7vqe1FH+VVD55UDadGLjk5FigMP63akaAsrd95kOeI7QM4z9KdX1bUDEtDl1m
0wh0bH6bhWLu7fwNoUeSQw3xvjfvuhIAumtx+lrmmVNk39FK/s8mp/oFofagm9FzTM96N/DL+dSN
aEr30nZFsLPGKT0ipISSDVjxFEMq/4Uk4P3cdH09B0E2dSjV6/uKUSfsEHjkO5dEd3gvmW7Vrs0/
6Y7p8ecf7f0sk5fiq0ZigcCDQvg9tbzD2x4PueVc5nqmkWJJP5GKx1GPjZRTKh6vJx9N9s3/BzLw
Hz4ldxKSLEgOyJIQnb8Zo05tPs6m0TmXUjDmr4JGyxrcioYB7cjyF7qGv6ks+KDcgcAHOG4wHns/
tFV1IUtfpc7lVCOOoqVOhwfTvElzcex9drKKsWZyLmmGkFzXMXTgTKlJq6qAX2uK6lfah79/fJCB
OoghsBAvQ3p7+/EzK2FugJr9Mlhp9mHZ6gk32uT/8rXwHSBk4xbmxnl3BIkzG+zsPDtsrkCTBwfQ
rE/g2P0KW//5DaWfhX8DJ/XD6VFzBPhWfJNb671yJqW7STFBhM0YJWjfAaPTEP5PVSrriyCYW//N
KvXugUQo4Pi9KJzLJUcIkAUjzeHAA3Bu0cv8lXrM0lfn/UciQcISUPi4hO/jLIKIjNzFsOzLTBCd
vlsFKXg96WYWnQROD4D/xfFmHlIt4CEVAfjaSM3z8wv7D3ewZzose6Z+VHXT5u0NEwlLRJGXO5cq
6MXZpmo24HLRamoMyR1KI7nc57ngQEDiGcqw9eF1taKMFeRXir5/untxn4R4gfim0RS+fTN5Ae+/
BHNzuULu177fBDPpks7wr5In/umloHsSruKztfxNt6iagJGF39qXqcvlDcOYR5bjL0t94PHt//wq
v91bWL6BJ6HF0lEEvNzfbt8m6ckYbhvjjFeNjqthdOh2bAaHy8Tgd6ygcvxqZXq7BOuXxHSOWcfz
eHR0r+DtpWxyoN0ICMOzCWTt6AQVRaLspLr3qGzvUxnxva7d1SRgFsnZhekyaoxL36hoj3KQak+L
bj6uK8j30dm8MJ3aRCD3EQjqMdfPLxJZQ28eCRS0HjnkWhSIRNb2/oaVRdWfOaq0nbMszBInGlrt
OvWMQ2zJfICiUc5otGi+djXcrKyZvb3FL7vrGFaVe85QdPKjMuKLjNy4f11gHb8qEkqxza1TAoEm
JNnRaWOq5Vq0zQnYZa66NpELuiVAcPixTk8m/ZmfI/5b2BeTyNrPvVYBBbFjn7uMCwhsPptvIUoy
m0UGHD6BMTOyLWEWrXWypMuvBnrYAdcOE2AERQcVYwO8j/Slomp5DT3w82TCrLvVPEq4hFibGcyR
Bp/U3CGNQ0saDUS/HA1amN551ToRj1eia+gsEgfWcBZUOe1nv6kAXJZWOt9bAVWLIXqD2RmQ2PSL
NYd8Zf5ie3CaJjotTy2kkM9Vn3svOTYcdHGZcF9mK0RwYMEz2Xgjg/CSsfPXZonEaWz99r7zgCO7
E2MEP42dccP6O9JN4lBebtdprmHTOGZGhIYqYuxjKwcmNfKrp9kR6XEVHHZaird2/PtF6GPEFPn3
UsbLkxgRejaho3sOHpIaS3XyNS9jgR3eJgtmkZFlbwMdPTE0eB5QMc32BZB9fkupxxhLz3Uj9Zs2
97rLgWAgqER6hU0uZNJlJw5K2CtmHywDxzDPQemBk8E/A+fRky6muKuYAT8B0wTUSWpfmAZj2HXg
3Kaw63a5zcDPx5HOVDiDYcWAJZjBf5kRwPS1NW/QPwBt5oxI7oTSglobUxB4EkDVr14NGoo7OCaS
r1wC6yYxEBLtZrdkxIVAgkmQT6hv82eitVXZ3Msjh8cnaRLUDRWC1BGSdNVtY2kHVN/7iGU52FF0
oFFiXtIQkX29+MUSb60USdxYg3n3UCchga46vDREf3cPsb2I0wKkx9+J2HO+VONYPQZ45a8xWBNY
BhiFUE8ywIKDlZrdOS3q8SIutDRDFkptp2qB72HKyGPauaTTxvTQGW04ec03gQnHpHQSTP1lHoZb
TuMIJ5CRbOdqmR9z/H172kZNc85NHfHLPUkfxpTVHSM4yPVZNJQMYLr+W+As5IsLf7ghkA0wzKwy
eAVDzsq0XfSUfDLJMNv0CGifvSLv5IFgc++rWnwYTn1VXdHF6eKDFsZOEECbdGdldQWjdqhvwmyE
JVctMvkSa0UT4dHNNW0474iug5CQuffbYyAn7zPs/v4wk1bxxYun+mw7JSg0NTnLl6po8z1YW9Jf
rZGvMUA6TdziVH3JmszvQZIgocvNzj/qYlTSfENDttOSzX1LDbgZKV4OhBv3emFCVQEf6H5ghHqB
PLi5yLpEHmZ3mP+I4nqCx5sad3NYl89pPtIAmEmXpG+VM+uH7QlY4sXv6fWQjGDsInpN22HsrEPZ
1PyiwGCejwAMQ3+EMy3vIJjsNNy67rdMfSB8bzrE0jHxfBLVzBWVbnDCNTq7O5xM08aBvoPwqgij
nQMJEpFBI5E5yGS31DMMxrIePuLhb4lVqeRhcHHmVIn5tYDn9RwWhAaloaUO0oAJNBS8j5BOwx27
0kJXl+X9ynPaadPEJt+oj6rzinlOdYuEvrnFrsBNbdBK719WGYYhMh4JqaUy+7ohFO/SU3osJ2yF
JoHVtn+NO5MFqV5C63E2F25Zs0cZ1PkDGt5gUC5h1mkCcq6vW5NuBNKmZYuUsv4cWQiQ1gnimrfQ
y5D9OBhc6GG4durL70FApqVI1Pnua1gjGtawG0NxjiJghhLOGxmEjY3Doz8kLvhj5aCzX8U8DaE5
vDV/RIeSM/v8LOo2pp4jhQBTXa2jVKxENuUXNyNn49vcjI6WavXRvvB7ua8yZ/oDjS/mSzc33E/o
I8FHJqE8FfVM971ScYoh0sqS3+XYv2SMqfeuk8bxNppZPp6hJQzGQ7rgFz0FIgluRqaPW6+AJJZM
Uwtf2FsOc6DD1MMYhkjoO9PH0e3KeyQf30QBmxSe9Ie8FwwCaR8XWxF2w94ZGvEa90n8uqTp9BAP
Pt8cT3y2b5lzh0g7fDgZY5Lm86YtpH+mYyTrnZqgHmwloSzzNqcdO53oIZqXTlvP161kEvF/7J1J
k5zItq3/yrU3p4zG6QZvEn1ENpF9Sppg6pK+cxxw+PXvI1XnnVJKV2nnju+kTKWqTAICnO17r/Ut
b9Yp7eIStOfK41ugrUM/4cmoBl1tCRGHFyWlOM/onc8tOK67Mg3atayt7iv28wJq3ux8qUOPEE+v
AcBJ+iKZul3gkFCXoEYd+3kkc7QtWC7CyAW0E4gT8s8vEUCF+xHTIr6E3rySaex+ykcPax/+xJB3
5dJTRhMQQ62e0iupXedkhCNzhmSIu892OjYXpY/ss0pdCJueaaBjVV0poTAR32BQzNKJs2w7WqUi
8jX8ysp58KClHYbKmcEUJtGlOfXzrUro6If4Iz/2hWr7rdl1Ij3pVGt3TcQ7fN8gwjp37WkEA/sw
6TtAnRURlP5cP5opbLe1kfcwdm3DN3PmzMF4PfKGf7GGFg9i0wx7zYvwosq6ErxWmESoICy2FwmL
2x56q0UaB5WFgdPZH25jexhpGWYRoRsdS97HXCvsbVPhXhJ8yjLqmFNIYjsDo3Fjg92McELX9pXy
JwDKKNKtYBsUvmBBtMAa23jrdqHRwktqmJcL0eIzLLz50PV+etcBf3vsral7CopJbAc952sICKhM
MGauBEOaBeKc+RunGX04N9GcwPhRvIeUib81MgaIYYJLdTPM7FOqAknA2iUx/ozeXj+acjRIqVeI
U1OndXaB4Uh/hbPG3YG7dOFk2mnYkTc7zi8MfvVzEzjqKyx+/9vo0aPcmQjnujViIlQsWV34chUF
6CDoabbpRiaoww++al7cBChflyHTXJF7qk7OqBmG1XUFO1yn7bQSKBXIwQHGZpCLu7VNL1Iw+6jZ
43mCYMoAwgef3gsVXOQ9eFVg7cOHBP0fMuV4zs7M2X1zFeEtPFdgKNSqYkSFEcvhWytoIAGIa8ZC
96QatRqe2Wu9/r+90Pd6oWxcaA38973Qp1TGaZXSDvx3qqfz44f+boXCU7CFx1/ZkP1JArAwxPyd
6hk4f5EcwIQ4ZCOEx8xhY/evmIDwL7bFaA4Q89Ncsxgh/9e/WAveX/w2MirZQgW2bXv/EWvBt5w3
O7GAw4N64lfyKWgovWmFBINX17xZrENAlVuAGKiZ99KIRYM+tZfp6Gx1FX2aqoCMsz6Ik0cTnN5a
mBgyUlp/106NMzeU4J9dP7KircShdJNMcXMhCTZ+qKsJTQ4Nn2MbqYeIRDu6Y3372QQ6I3mGuMCP
xHxUT/ZiuGnKRSc4IIT95kYVr+NF3CcmLB+V2fIOp9hGx9iAi1nZhD4+Ka82vueaRz136lJ/D33m
9RlBiGK85pHaypK5aayzCzPLGyABQ1SheBSxIk3d6MV1r2zLwuBcGw+GcJtF5V4NW8LVGL+20Eq7
Mm3FBkmavrakhtSaJ8GnIi8C+6JTQ8BlqW37YOkxvswaLAU9FRJuZXuZtIBFcHdWy+gr6vIvopyr
i3hk2+UGs9i4UuQfZNZVqDwjMstplKMYdManV50zJgIrPoqOFJi6KZsb4OGmv9cRMnGmRsZH1RXA
8DutHxOTCi1P0TWv2pkd3BPtmkFBO9BMo2Y5s8+gosZUFL22PXwUh/a5TR1shAaNzgfZBuJz30A4
X3kI4z+KGHeMF6LM0+MSuEa+MNcCuZP1EOYIFFaviuw4VVQ3RbMozpVTUGLJGp1j5zgIvKhiKN8c
lipArTDQYCsl6HwQUrZom16bPD80ra9/pJLhe40aj91e27/KCZOSn3GdKfcvmwq7J9AJKircP9FT
xqAnXb+OANUg2B2RH0WL4lWABXobsTlZrewre/KMVpJ0oYFbEyG6bS3a+ZKInf3o1/281ypkppig
aWp0wa6LhZdthtTdjGJ32QNNJSonWtjsmzMxc0L+clEgk4jsQuXEWZ0YHvIBRqul5sRmSS/iNT+y
GEvkZjFh7FB9Jpggm0D7hdjAEPLsa2Lex2jXqciMj6oZ2GPG8HC/vYqK05wyB67Hq9S0blFoF8Bz
EYpTDXXDyoOtiesqqBY1m7ecPP4CGgjssbmCctT8zaveSnglHks2A7QGOrVoeXuSG42Gk4h627wJ
0sEjvapGre4vRky02PQ+Cot780fGTTZiLxhlzoaVhiYbSDHaw7yX0hKfzWnpYP1Q8pr0ttCi4aHA
PId2P81ccRtnPZJ0Z5nYp04qu20E5AORn53y+2OHSOw9Zg2E6DB8n2E+TcbT66cMirmPD1QB5B5g
weXDuo3HXWawSbkOZcE7v8g71JydN/I9kwLRzvdqXAwMdbF8pT8sDUjEgScrdlEX4dLdm4CndNfh
tERYBmFMz9VY7B15/SoVXXrm/liwQr36F0RpWtMubZviBYIsd2TmGcs9ZS0EZDRlQbmvIWTTOrNK
TRxnk+u19nM1blRoU9LM3nhnvvb5AHN8JA68BxVf90iRi6QqrRXd0OZSBf0aWFwwMck1WlQk9Fi2
1G9wuifZIXNZNHWvMXSI5xDAgM+xMDFMCgnZ0i6G8NYBuaKDcT9wF+8zqMK7Gbs5+Smxe9unqvua
GY4FGISXzhN5Vfo+8Ixy7duSG9uWjGVXMRfgkm6iwdnBdXfIQ0F3sehqC2fjhhUbGy4ZVFDNaAuC
f+h/bdnwOlurqhEroqmkyWFj5znG8eKxfI0InZZYRQlB6NLrW6Q9vl2OZ3i5YovTyo63hnLGFcJV
UG2lFM0RbZ2DbClIiIDnjXG7yE3vCmwPFWGMBJyy5U3sR3wUPvW0nL4Lv3ROERF5h2wIrG+F689P
QYy7eEdwZnbZgnD87rR6fOhddzo2JZkZtAppIKbGI3JS+ZTYottUQB5AcIZBiiQZbRGFVEGqLzkZ
BdDInRmU07aCRPEdoUnOEzAW3UVASyyjS0PnBv5c5HykK9hdKBpb5L3S+T/2s8yvSsahG6w+S5Ko
Vja+vWj2L924vZaeLL/DXUrEloynoVjpqZ1OgNqC62I07qzSsPXWBBtAlRgMnYWgndX8dhZOchxM
giwGT++IWBg2ZNc0V2NPUkNu9NFNNUhWk4miNjWa/g4WHDyx0ULSFHYkamCrcC4bYgrtx4iN7NOY
FPK+GMVN4g7tHZ1Pwq7jDtoQw5/7ygfXSVqtCs4tXuND6hcN8LnE/BDbo74gzOxhjm3vue9Im6u1
W8u9O1Z1yPPRFGxrpF4e/PGANRF7SmPf0PMjpwIWNQlyZmJeQtwAjxu1yryl91ljo0FFQI/XWsHG
kJqdlUqaLXARCNxJlIyfokaXxZptn5vtTBxE5WFqkd6vDUsU24FO5DrQpnqwifr5mNqhSSsmdcxz
nyGWKE2jOeIR464eneyT5vV+MRZ9f61s89NIlslV080T3MRRNx6IkEhdworJNgNZ0vdTaIgLelHW
bW556mUQWn6aMEK0n7Uyi+EW8VEUXyg557TMcoCXrfyA8TG6ZcNCAI2XR4jtLeBnin5m0VHS+B4w
lM4xzlIqb9vZaG9oU5bfCzXi6CE6dBu5E6zdVA0faclHmxghxg3qZJdkTpp4q7xKynaFYba59o0o
v6JZaFebpDeNW5HX7sYXPZl3ZeGvBuHpE0C+6lPaKyJm6uYx6htSAU35pHglbkHnunS8zY+WHR8z
wmkvjckVH0Y0XwQk5PgqraiztpGBRq6LRXx2CJq96n15CHpIk7lPOysxLeJ2/LrRKLASJTjDwFpD
+3SKTdzYPbDHycA8wK0CouuyJCR1UTc/R0zeVnHhkRRo1wKPhVr4qID1LJTOrIUNIjTthbwpQvyr
sWi9VeXxCt+hJzD1yrYb55buvHeDgF/d15JmFco/ogNJSqXTNeud4avhClaYS/5D/OiZLSw+CUvP
cnSzjqvJ3YWqLO+RIg90Iik/djZ7/Y3GqdVtG5MkIViHLghziJA3pQb5REd4ejBhil1MnWM+G5If
HLy4vmIFGg6p7tJuo8rw1lHmsG+qnpagskVz4ZRze5e4JZzNqepGWqIk5gJ+qUEQiay/JVbC3MjI
OwLDCi7rPJ4eza6ICPQp+6ekTz7A8Qep6loBBYUe4seB3AskmZoYhbZzTl5T6oM2iUYQYRLsvJ5M
zZWS2Uh7vTQJBQn83pNESSYuT0Kp8nWj3XYn0p63I10OQlH9stg3owieYH8b2FS1vI+y2t+RdBhl
W16H4yHIunTTFsQjQC1emVpad0m0BH/KLBGbeYq7i1pMwmETO/UXWgoolratnR0/o698oqawdrDe
fMva3nsJCqIZ09xz50MSquJr4+O9CWVI+2sprZqyk6timNrVDBa0XhNA7W1BQzdwvgfIG33QX40M
+jfRVKgFCzVsSI22L/KsHK5nIqydR95v+ZWqCifB4ALL5yZTMOS63K3v+lLH3h2EdGdeu0a4RGxk
lAUYfb7klm3GO2C7kJUHk1ow96z8jEj9Hv6bvgQ33G2x/YZ6nXUBGEfKgCsbZwQrL00iGGkDGQCz
k1FjifBjjFT2bo7GjAZ5nOzavJ8u3c51r9sqaeUqbFsDXaXbn5y6UBfaasFwAW+5sVzVPSRjCdO1
vWiCWW/a0G7PZVd3Xz1Wy/2gWnmyBjfCfxs8UaiNOx+d5+BLcZsNEzkv7oBzb5fpMi5OXTKP1i4N
53nClyVhqdf0arJVaXvzXe+YzRedlwjiWfIK/GfEqmGZR/tfEUF7mZO2RVQNgRM3RjjNZyOZZQqz
nn7XF7CQD00/VWgiZdqLaEkfZXE7RprmeuL4d7VVPDdOoZMLmkx+dOlU5mc1hs2Vdink0oB74ZiP
kGAJip7yLRjiBGorwm3zOS35kxxXEjz9DV3odrcQoxj8rd1mfMYqWwMek0Hs38R2097w9juqkjfo
ePjHTv7mx3z+vyBp39Rppbr/+39+FiIg+AZBCLznVfxtsk9/My7PKZYirzPrgzstE2OXdGdyri1k
/O8M5t/Mb38ciORJ3gh0523vzYECSTHf4mI5vLoS2acy9lBVS63G1yA+d+liXYtrTT06s+B+/PNp
/nr0BRuCEAKuA8jgX6bHxmT55qTJUcka+8EbRzLvgRNQSix5xNrgqJ7yqQd/GLr+fHDrZ3bJcpGR
1S+KLqblDgzJN+c+Zi75tpGsDz9GksMYo0tEqm4/0K5kByUsj5MfFi/w32GYsuqX2I3YL5Zhn/Xw
5w/0di7NONoFY4pn0YPNRC7nz7P0mFClyY4Xiw9t5+O4RDu7aWI/zNj2v4XSek8+5f4sTlgugHCs
AAUKE3xBffiGl1IkeGVcQgsOVYnimAC45mPH2/hzbiiUpHbdf00KVFfX8RD0zlFKj+QPZlF4dK/I
eSGnlMyacOu1FQ5q7Hy4rmjwNyeJ9uVpSJipDnnNnSTmKqJWLz0Y6bHphHRxhJrvbTrzcttqnNdp
37O3IG7jc+0Oo7rvsBF0u1lZ1ghtHX2F+DSziSR2ONDs5uMIb2zqxGxAc14TD/TCoQzQivzGOlG9
BPNQ3TthzDZOtUugwiseyiQpWgNYJFh4eWGa7KotI7rFstp3UAbZLe5fI14n/kd5FnVDODVmdKa0
nRXUH18bIK8Oo9cv/X/bm++0Ny14TNxv/317c1fg5f32U3fz75/5l9DT/ItfwcYEIZqwXUq8f3c3
/b/QQ3guxpqlf0l38d/dTQs8GkoyUFqwSux/Cj1t8ZdrO94i6QP0ZXuh+594Z35Z2zwH8wyiS7ya
HhCZNw9XDE8RSnLdH2y7jxWmbiROa/QX9BR7J+Tuc2V1mXvk2W1CMj42/7hWv3mBvHm06YaJpeHL
9YFM5P2it2rbeA4HlPL7kSzJrT8RNG2ldrGZ/LQ8/A8OFQb0b2HKceneLFt0mQbLIjNiLywkQGjO
xxXJPQ2qdKv9H5wVlzJ0PB8dJBLan1fI2YI7Owmh8GFqfOB0EjdSUVoq7ffvvBhpcv9DN0c3mgvo
cE40k7kp3Le6OT2oPifgTe1DjNerge1RJSkh9YBtvoqytQ+oBAUb5prGpCr48yV98/r/++AOSiXu
Yta6N+ep6GVETqPU3qgFgKBMJ9vKImriz0f59R5xbe5LHz0pULbAf3OULg4c0jajfi9h7knuzYoQ
IZeQv2GbLQ2Md07qZxjbckVdG/0hDWjL5jZ5q9Z16e+hC1D9Pp5Q+Se5/I7P94U1t1xZRYmJhYL1
zyf462V0GVKgmkXWvXgo3+j8oiSnP+XU/T5DlriuopDEKzOst38+ypvX9ut52QJROVneCAqd5TL/
gzoGIsJaeGv93kmHaeUYxmVsdGf6uPaaUAL3nXP63VX859HefGmeMOM2dot+HwzQUKMasspA9kLD
jIFopBCEap5/+fMJvqEB/vjmkNIzSQo86qS3S9mU5BgxRh47K/EEr0ZBUJu5xADWc3DoayyyfXvn
D1OAwVqgQlJmcEIbcCBNtaYNFA7bXtsU1aPffNWaUh0uTbiyI9Xez+CSATuiJsrb+Z2F6VXa/m/t
6+vnBgfnm4tQGwn82zsu6GIPNi6PUTr2RMsKAgX8FaPtYWsYjonRxGrXTQADwOHqEeGkxSdyEzD/
g0G6RhTnkC0Qh2dYe/E7z4L7m1vTQTztLE84Ls+3ImBYF14+u4ViGJBs4Ty7m1QmS1AsOOAO3MYj
7UlCqUcPSVVNbNxJV4SlIKcc8g0CSsQ9i5to4W63E5G7jtVEm6jCKFnZ8XQR97a8Zp9lwNkmyaEd
lNqMPjSjVi3ytjE1aMYE0Tp0UgQNwvB3TE/IkWJrQ6NAnxRipxVdVmAHkRuudOFeJCJ/7Megu84F
hK/JmfOddHpSAgx1JpJrPrSpj2gNEO9KRwXygmRauhXtsCcM20AqOb3kk3OnAkKwQj/OD/gM1Znf
XO3+fLf++oAEfPOOzVNP2jn7758fR93Fbu+Oy5feJdeIE5J1GphHK9UPeDKbLY086z9+JDniIivF
Lusv683PRwylHoJwztVeRtHR6sRi3foaVuJSOpUAo+B9+PMZ/rpuB7AhA1RSi4acHczPx+vIHkZm
26s9lisYK4MYjyi4gNDYcnrnhfvrbRq4BCOjCQhfxbLLf//H2hb37pCNQ81bMIB9XxutdaxHDPB/
PqHfHoX9DmUKYAKu4c9HKcnaKZmm8LrzpClpDIXGoW/j4ObPh3m74WOl5mwCywqoFnFcv93v5CmS
Yq9BdKG1VW/Q8RCaSK9i43W0tEVEipl2uPFN3yGIKHiWdryvgam9tyy9mXq/fgxKGIuQART51ltD
Q9vWYk4Hn8GfLvzt2IbFjm6N2olR4Xcm5VocrYp+tjTr70U9+ndExBJd45rDVTnPzonUj+idb8D+
7WdaXONgccJFzvzzVxALwzCixOn2VdxXR1MSYmUiGpsr1V5HHYbfBNHVxwJZ2LpojemM2nFae6lp
b8KA5hOU6+8FVrnrHMAbws9PfWYQ65qq5n6qSKhrVOoe3DgZT9VUXBumeq+4+P0JMAZlIsVckPSI
n08gsmQIK33koibTXSz9ZkcaQvwIfZCXPu7HDV1lcw1zXfHGkuVpSubPQeo/dNILjz0RwmvNcGSL
Hiq8ZehTP6AO/T4jBDgBCQp3YxNPmzHPDN4VqthJ5nTvvBLeODWWtxUjsX+cwZunYFTMRuJ6AlbD
ePCEHLs6KVdXm8wwNwoH9crpPbIFMhM/KvqjriHj8M8PiPPbuwDYgOnyMFrInH6+iFBZBME4fbfP
DJoBsNYD9wtl1Y0vuooJlfkNf65+xlGdfO3kGu5MjDLJXmTLsC+Rpu1sugkbekokxKXWSEPf7kH2
ccC9djP0dVlsfZ8qy2Kp9O99B3mrmdUAzUPUT4ikaS6alwZhDIeZPHN/MO+9iQPFAnlDM4IHfOea
/1q6BfiY6LVQIeD8eQuMxd7g53Cnun2bFc9VtAd7WWyMmSjHekbb+Oer+5tl26MGZucpfH6x+Waf
RNinVy3iwX0TVy9kouKqtoaMmTtQtz8faflNP9c9nBaxZ8BUFiPe28K+jeK+8SOXO0nGD7nlxM/o
HBBUABeiv0/OBRB8zwhOkQfZ8M+H/s3bl8mt7fmOw4uJwvvnO4jg0NYGJLvo2qaPkQpuNMJ+U0Qv
CEy/sOX1Nn8+3mvt+cu5uja2fRxOrvd2TQ8Ho9Npyi3LNryir0zdM6EDnio68M4wfzej8qFOC72J
p4biRpB7MuBqBkY6v3Pqv72Z6NryZnFwqb19LTPvGlw6at2ecROw08YnPZhJ4gpkFXraJHv585n/
5qXp4RHha6aFt7SLf77SuL/zuOw1XzKchj1xrtF67oPknT3ib68vQGXBncTlxRv382Gyzophn6NI
Zo8s18FAMMdQAQLxosA4kq7C0zkQDUjSfEFca1ySGWkVW4RCF/PsvbdG/ropD15p5GzKkeK6b5/X
cerdOekIuHUGZQKM8ONdJ+eraZgI1yktY71MHvcJ9rpVjZTxncfK+t0TTDXExaZuxyX4ZoVWGONs
hgmS2b1IvjS+RJHKwF2dO3gaxKN7teet655fsDKY4lJQe23hbsysIQESlkOSr0djGgnwdmKGtEr1
Fmm07/LHf/Mxg9DDFM2jT53z1puawIWY3Mpr90jX5a4X87BFLB5uqeXTdy7Jbw4Vsn6SJEjGG3z8
N487yYwd42e/3Ssyo1+EM/m3M7NiuTI8ONB/vuF/eyzuRNNbWmq/rGoNFgnVBKLdu3Yqb0PX8nb1
tMhVpKKL+P8bjb9pnv1mEaPapS1Cicjw5e2+0Z6jGNIFR2KgH28Azjb3ZYx2mLfbzBCyRB1cJ9M7
y8dvT4/9tSB2ERb3W2p8HJuVCtHz7yfbYnjoQtxKsxI/h2l37xwqdH/zoqfSwKLtg/x2WLF+fqqD
XNQ94jVuESER6HnTpEi/TMQ4b9wyqoq1J7GSeNTkxbp1htHYsXPs9XbWvlPeloHLw0UDfg6PUTcV
T3YzYF6SSCF6wIoFokwVtcnnenSNqxxzZLeLkwIRVMewGxsBp0QwilcHwQaHF1PC0TGd6cI1khD2
rfTnbS0kBJIYusaD19uo7GDMuPYuQ/rkbZ2wSewP4YgB6buX0SyJQUKbXnKhEwmEUaa5TB67oram
Y1HRXdsnqVWKrWE21omYdW3sO9il3bVbVn1Avmk/RbdeZxXVjn83xl05AtrVq16EORGuuGHiq8Cv
XH/Tu06d4T9pi/vBwBxxkuQvHaxlWAjnT9oMV5P0qeyYV5AeLers6McElTM5rlGKTYSkYstqpkpe
ZgPbSawRIcLpfdeNpOvowYUiUg9ThL3J6CKTvgOIuk1DVD3FVYrA97PfRfRL/EhpEmVELe8bNzX8
BZWGTxBBEPGuqSDNezJw3dyZpHzFW9iBcX+kiNW7NtBhClE4hrQtmnjGWNRl4X5RKNTbIlrafyaE
tpwBvxs8ZgkJ8booawbYIkEgkTWNeyiD/pY+764f3OY5AsX9oTAC805V3ogrEiOKgewJomF47otp
V7XdTid+dRf5NFFFAuUelM6e+MRxk4d5CaRlODmkaaztpvtMgJRAiG5Hmz5jhg8RF9CtMW4X5yqf
AaOT15GeHorU2wtiZ1dUzPMKhGR80YlGf/EVBjfRkyNW+QO5RJ57GByNNUSjd0uLJ9P0trDt2xs3
hMtkmVV6g2aI1CQztS6CskiunJHvg90CBGNshXp23L1rWIglGATCUY2OEXTttc7ynqKi80HjC9Qs
nT/fgsg7tkqAL5knl3/k55zuEj4uecq1tjezmZN6rcjszsiRW0PcLi9Gh9hPvtkbcqPuSiMBuDoG
yW5GO7smY7THaIWEZaZ0vYviovkEw9q8rBJSyibVehvkR/LFM9pqbaih2QQ0rPcg1l0SD0PcmFWk
j46Z2sduAnFHk+Jk45JK3cba5e70oTT79gOA2IPvCpD10wdXRxWWt5BGXR99KD0jJiU9L4Pj0PsV
Qs022hDphcEuiE5d5KQbVCjB1syEwffQIh7NQmIt2TfcpdIYbtpYBnddr3kvOt2lmiIQRnpOYXRX
37t2bA6Bg5gu7cqS8WMwvIhOQa6CH0mHKx9SNU/rvm4rwOArKs0lRKROQ/WQ1wF6YZub57m0TUdv
fJSKOS9TFoks7kf8dHN+3Y7cZdkUkYaXW0ezj6ct8VL1Dnh2cMEf0H/xQCB7st2JoLMJLUP3cUok
s2ZUxpEY883c2fIjxvkddt0lodTmM+99w66/aoxlzcHJQQFuykD6YLxr/NiXeDnRdud+gAavmAYX
H3adMmeM6jY9SMmVwndZFZuZdHgQhZm+eQU0R2WVp8cx8+TWDdP22hrtAEMyQBwCMmnGJWlnfvEW
B+iK/m6zhZZYXDS8ZL+qLog98KkxmXqji9oO/oN3L4acHCma+z0Z1eSfrZpoMNHKBCi2h6B8kQ3i
eDTGnfWp0r7csEVzzyHm3o9piK2mS7ppr6hYHoJJZB+Hjt8zYVnH7mS3p5nAlnWqKyIKhNM904Vj
DJKh9dipATTDKnHC9gMp8y2STZHvcm20H3z0t4dMRopUc63yXYpK9tkFVcj+sB7HjRfhT930c8fD
UdiGu85NkW8AwrprUNvOsW/JsfZpIW/ZlYYSSZQ1lHhO8MutCLsbntpojGf03ili1zAeo3QN36kN
1+iQIEBWCYlcI+vIKQ6z5N4sEyyyvuztXcflNJ4q1F0ox5s8TC5ie+ajevnwNMDpHa/iKIrPuL5I
0jKb+apWi/cYndmxcUBgCjP17gdFwPiKSqRFE5Uk52zsmk+07uwtjTP3HEse1W1Fvt5u7jUa9FqT
oer7fnwuimbw1wjZ3TMPUctDxbdLE7495WUozsDemi9yiQkQs7QeupTrnZJKtp+nCslOwkUFQDJd
GNyat40rmy/ussNkXj4Tzgp6O91zZdODq0t+rQHyxZKiPTVWFl7OQ9d8UVMjPwwJ13VGCPW1tmKJ
JKZPuKwtQu9TTDdi34egRcOxc89ibkktGeowPusUpiv1bllO3+aMUAvNGxhvAxKe0YqmS4vXMrHm
AO3XBskK7QpAX1axQvX4v9qakX2D+fOc4pZ6bODNXeO/rfG/evlGAdQmyMGYI2sF9Lb75vaOvY1V
0J4maSJNNPrhQpacPN4S/RgYGetiHKXkA/PTjWnE5z5sCc9NApcKvMJ0chZOWxxljqBtpUKaOJs0
H6MTjDD+h2gIA/Jrx0JtMoyLPTL2saGNVXXP00TTGvIdvJFYuOsI2dfRkmq5y0l0IIcCKeN9WibD
E6zZ3l+PGKxPhWvmd4GS5GNmiXdvhHNboG4akzP5ARUqQ1HJD0ULbxYARP9kNjq/A7gtzraEZ+5m
VnTXioED5YRahr6P7YEiIzmLjqtGSvp0Y8bG9GLOgJoNhKXViqZ9dGeXKKHJtaguPWfkN9ZzfkfJ
rh/RgHTf5hHDwgkJVZdsjZI8aL+hzbeO+iRagH5WJxE6Yhtce0btk6GbkVEPP9SL7kTClgsxY9dO
x3IAUMi5cyfNEL1Yej3BncaalZyLPCNPr7Tm+sZwMpq46MH4rs0ugDzoOXVQrcNOvdSBwZ5pMMts
3ZZj+0JEt/UkYgzzA7bB796Qkc3Ho9feslrMLzVuXII2bMJn1jJz++9QpDH6RYPPvd80XBaPN3m3
N8fckqtX68hMOMhdqMgDS31v+A6Ao71VUUXjv7WbazWgjceU0t5aKojPkYcGX4WY3lNsm0fWMcjM
U8DzXRmxem7TtDJvpRF0rPF1XrrHeqq5eBAxrtgTR7sGPDyLGOo4+qaKsFA47MEnpIDqOiobJNBF
MRxeLREtr81LB+NNv3L9OL3xRNfsmkp0j5JkEAKMkxcV1/xV1zTNJhoa54sbxu5ONPgrGiRIG3xA
1dodYDtYXK8VE02xyZXkOVROiWSqlPrmldNbCWDCdrFQ3Iz6XoXiijAGoJimmbKXkWCw+zC7hkJ9
MolnPGVlIzksQE9zBICW+LDzPQebgibd6Ep7RnNGtxrde5FdH0OdonklLnNeWRXDxhbm1BGT42mY
pmKT8mxeQZqVl0ikiMNMKmKcbYcSMGT8Rwv1c+hCcMt9gOl5PTjfhkKc2tS0WNIC/gHDflvBC4XY
CSgGSscz9ba5mkxdfwnHZc5Uq11CZxk/V+0zLUsoSIesnp4DXFB3ZpWgSNTNwQODsglHI8V62daH
YJw/0/8rP8L6JUPcr9laAS6MWejZ4ax92ELJOsvz7pgbprMaIgM+aCmaXdf3DL6svtlQocLIDnJz
D8uqu+9bnLHOGMZ3fcdBsHD7N70ZVisa04u0GlBymIbek9ep4pCm/pPOzHJPuxRHu0kptyqJHlvV
6ZhcpQGNG1RSx8iZrS+JGY27ITDMPeawGT4KYMVx4GHsgLusxpxWYTxN3gXFhXjOhLuvXF0jT89Y
gOuM3WnsteE+LMLwZch7+1lD+LgOy3BGtVCKhybR2VpTw+5c1q6LMuqKJ8v1/dtp4FtyB5S3O5+6
cCUJlt+Cy2u+ww8u7HUTq/S6zbgN0qqISfTUVcOy1kzJSpTwQXUDMI8BwiqEy7fufY+CHu7g52zS
+Skeq4PK2yJbucK4rKdM386m/axSo9zxKO5whGUUai6W+wgYQync6JEQC8oMMexQ2JrZqoFlfheY
ct6QkxFcdAQlEAaebBO3IADdke65bFwSZcjRtBhaFPNxmurhysMkXlGjGTkPnFedGux45yJzMMi2
2Vzw3MmKbWlhQC9H5TgOV6ADsg8lrsq9a9GAp7WGDaidG1oafWoQSBA57SWewIxdnT9ALehllp/C
MTXviJMC2+LrQ4QJbiBu5uo1YK6rRp9Vv4YMwoBnVY2duqTvO628LjtYWOVAGDgr9jmfZV0BVk3c
GYOzt3AxqyRYDcj4P+iJSKHa9r9Ys/cdxWL7iYq1+AQVDPxC10GsLVxj5wx9vFV+X95OHhVLAcGF
oXeo5nWMeg2gqakPg10O6clw6lEg3DU7/+DnFhq9Snj12RhjTBnV5Ndn2jdkjBI1gouChBAWoRob
26cS3u6t3QbgFVL6yMTisIBmyf9j70yW41aurf0udw4H+uaPuBOg+ioWe1HkBEGJEhJNogcSwNP/
H6RjW5avfcJzT07YIVEFFoDM3Huv9S3VfxSdqX8pEcJ/NLFOCJMJSOu2QQVwcsCGPkJogeTZcuLh
viEq3eEwKNglVvtXUUMn+hGuyG5J72wpVsw+OnvCTeLUfOJ8TGWaS2GfknzqPvAMkTky4GOIunmQ
33NSAkTYLX38pneZ8QXzPTs9uvDprsOQ/AZjhyLcjlMtiKDNoBJ0CKQKzWUMvO2SO+Vj0QD1CDsx
qWrnJfgUdnag6GgMk+DxEObAAacqi+pRuAPafswY8ZtjOPxMgIWv3XgZBsWNDe+UJB5rxlYwdlzl
NnOQS21KVFoeRczEh2apXXbndHF66ka9JCM3UrVKE3TGBv/yokF2PdqK9uNG2MGs7bV5PQKQLsCv
RDEVXDKh2+UGTw+HVvT63CUCBj03woAdv43tCHUWBFBAanDiyO/mMPCpQ2PB1FIgsd5+fpnOqCWQ
exlPptHSrcl8nkFAT0g9Ue0R6iaR1YAaB/O7NgUIqSofHfRj5b7A7vlpVRbABCnzKT/UBl2gWxMT
nrHrncXB9NZXj45CUcEtZN4aqbjh98s9h35IW+t5du5QMYx7OSP8uAnGfvw+uvRGw8F0anHjErf0
lM+juUdsW75I7F/3uRc0cVTXvv5E2FE3Hyba8PGtPfBLH8xR5xo5lXPVaQl2mnbWVGrM/yqc89wT
3l16/2IGjm/zLY7A8jHbEor7kVK9kK6nOBHP3dh9S7MuK/bB0OLKHAKZZnvMXeYUFTrvD8A9R18O
Jf2/k0o7TQ95DjnROcKus6PutjRRWmYreMeaFL4M7xQFN5sw+1ckBz3Ow9IfkFWZBIUVt2IkSq1Z
j5CFV2JqKdAGPhsZUciwk/QTM2lCaeRg3Us0qxe0TOmnhZzgZ1Igxp9jsP9qUP9Mg4pckY7131rD
m/f+/Q8z/fVdfvvf/zmSfVTSyPnVYo9Ofv2hv4pQPeCgDHwY5QNxR8jOH/1hsQ+MvyAIcf11po4G
7Yc+9a+0UZM/Aj/mM3hE3I9G6VeL/apaoZceuMx2CBD9T0SoyL/o5P4yH0P5hsY1QMgIFJ6xRbD2
un9RcKRuameF0YnT1BgeluG6ckIwSu6ZobjWgQo3bFpmWfBY5w2VyjojiCN99B0mZh0Im0NrSIbj
flW4p2XxbLwyY7UoGBj6dD/wQtl7ooJm7Z64kPYFKThVO6fXhNx0TLbI581uvOBLJl+viOntwc3W
F2zpjEkusEK9KuxUuxwXY8E/VJK6sl0Kz2q346p6xABZ0WzqIE5jPtaaL0E2e1+x8YybHkPtNll0
TLmihhUUkYSAs8xIlG1eArMHxB5I90YRJxnKcXjo6CzsvI5haDgXo47R1DXSxzrL5nvcyv21TUwJ
+JeDzdabKo0DoT8lTlg6hLiFblY/FA4wE/75ZkuRMx8SpFknEz7U2RD+HjpJS1lYpdXOKR0XArJg
d+wVFvbN5HDGsXvPfMHHBKvIaotHw6SPjSPzLaEguSWqMNjQ6bLuBjNrj2M12xthmMQNLR10MNfb
ajNkmQkC853lacXVKtWDo6ONdwo8zWFNxu1Xzuf13kaWGrWszGdDAlxJ3al5GFvL42sXaXLDpmlf
lYAJGPbDMlx0tW3MqrrCxJbfs9ENdiPyLjBX6FASmmEPiKS/OnFcbQzwClSHouHYwn84pLwEtrbm
0EgciIVzwpnMJkIH6TFrO+vBmoLpbNWeuqN7RXsiF18y5J/vTuWqzZJM50J35o3D6Sl06beFLQDM
+7Ga5CMR7DIq86K7mhaBiCCY2igO8vu2yPqrNuUDGTFp95xPIK3szpyuMz3EDeYyE0wfV6pRCmz0
MU6eFt9j7wNzy2kiwyvKP5tlJHXWNaBu0einWR8+Cv7+LcaP4t4bS7Z8mrzBg0eX9N5noQ2XNs5i
2FHLcrU1q4+yetT2OQXJHtZR+aCbPNGeO/QXCPK4NgszrFvL3hk89jcVAuXXESZFivu4h5edgcWi
K1Y0oWWN9qaB5bUfCK3Zac1wdhGFn3Th3oxj13AIAmBBq8TPIj+btINVEt8edjyDtH1pnA2x1kfu
0n/StGIHc/+BmZ++i72zPbL1d035eVZDdicsqC89h3ywdpugsB9gQhRbcLVfO8xvR0DXn+ZVu1GY
3ZuEwr9ju+vnSKbm2bEVu+d6p+YPLYlRlxpIQpZBf7EHnGjjHMSHWo3ajcLgs8XkmWwy3X5lMexu
4Q1jDulaPHR54hznprM/2TQY6JyDuZcxYhbNgruXaScP7SMRquYrRWqzHTwgRkTbmRxrT0ufXnqJ
L7jBfj6X6RXINxACDJr0vSQySNDqStXpLlfZFNm4oh/AnRb3te8kR5QctHKXHIQftM97ORXLHh4h
85S6bvdLPrk3djtywLfUsZ3hCZIO1al7ZfefBmPWQJaDk1e2IUpesKqzlf5YEuRYBJvGaM3sbo6V
JXEVO1fCcr6Qc+lsXXcJnjJrrndIqfM1JiC+my0/vXVE917atX10Gmy0S2q8u/XooIFu9f6ta/mV
aUrWm7YuzHNSlDApTYdHWk+KaJS4jQuihe9mlt1QTKx3GCcodbxyfltI5qBeZX0eB57BdJ7mt2Ce
KEllqjeP9GgeS92l/eaX8pb0TlS3Y1BAz0qc2DhatRKoUYiJrcOCVG6O0Fl1rHPSMclL7hGe1mXw
0Gfe97rSVYQfkUkd8R20MHwjbZjx9n5Yu6WEk2mnaBFgseOWpjG20jSNlavpm73czT+xQGD1VkiQ
+IkMmkkuOMlSFwN7i9Z8zTXq+FBgTdW3k1Cme5u3OH/DrJr8Qz742XKZ7Na9n9iwH6025hXJFY/e
se1H53NnpO1JLHLG8sPQ5kvP0w+yCRGhiHD5eDbNytp7aJhVYd809PZU4Zw4NXOs7fogK5MDzvDj
zEjzVhRD8Uhb0cJeODJcE3nMgxssSrwyfe62o2nLg5Em4h33ng5NwG9RNiVzb18SC5NW6Nk1rfpF
IZAea5/3wxrHMWQOpd3XLO3fy9zWsUjYprrpx667myez0emlzVMbLkZJ5BOdLmtahUHDi069+d60
evrKnkz2BCfCm85a5G08OsF3fRIDMxfgLQ8aR+oXDRrHVRKmhCig+EZ0p/vhlIGThqmwmoE+xVhs
YZGmRwfeomS1jTrOD/NmJsRWhgE0rhaBmfA/DePsXAq3Kz60TM/ikxxMptBunar7uLHdT+wjwbae
lmRHjKKpgZzz6hgNtyGSYwsS62uepoHNYgTMgynquMqAiASQs9Du0sztkK1asn1lQpNfraJOEp7i
3vbgvcnlGAxN/mH3Tf5QK2ozQlPNKMVDdswNXHlGLnhZ66pvbpfGoizoVAfPwmRgB3IBI/5Njc33
1VGz+hb7onmDmjvuSi3DcqslAby4qZm1U2tk4x1DXYoDCwbQV1ufEe3TDkCWRcPvMHh0xw+epuq3
IJlKwEFLPBxrA4zEJkszuFqBJ7OXxk9t8iUqq3/IbJjYdEas5ur2dXHknaOAAHpSz2QkTE3IlZPV
4LX6axyQpQW9Tc8niOyasyeZPn2Ig1rfU6l5UTkMJcpu3872LM8ZaYJMPCIrN73LrPrmZIje3bi1
TYjIOHSbwuSBA5gAo8hv7W2jO01EB77fMjkO7BCNBqC5rt9gAiauUBsHepYxGqXJy+pj59ltGcqi
hLbWZr0XpsnQGRHKoupzPpt1ue0pRBu63c3yjTG5dRPrqt5gXPliJyJ49kQp3yuCS3aWKIB7ssTH
Mpyx/mkRc21WRGea9WOKWOUmWGzvDeBfcagFORIRWVkLoyhrtr54qhXnHgTrp6AXAr6MBO8aNu3Y
Aa4ktYQiiP+ZL0PuH2jgzA9+HjdjNJnCeB+DkRZV6dRviR33907QB2WUTab+CoGvirfEbww8S3q3
2os94yNozAbmgXQT7eRXWfyZwWL5PC+92+2sUkznoRtmYhA1jX5di/0Ug2F+JAb6Tl+G9HNTetdk
HjdEYY40erSt8lGZE/cd3Nt9oF8Hz042SSC9FJpJbd7S6CD/x0i8feNysAiddrS/IJk3EYhVdfKp
tGcPYadUTBYM4ClzZHQpFEuiw67wKZetQpFyNLNi3C+2028WzM27QdeHC1bMrTuA94CqMCDgGFwP
RQROgnDsSmSZbt8+J6Cxvrh2Fe/GSmdSyt1cuqgGXnAjzAmGBMcsZpSxo6+JiQBVGPra2QdGGUgD
ZIWVYU1MKkuLpW4I/BQvRTwVT6mjC+AKjkZ9EA+Xtp6CjAfcBSHXyiBKdM6IpH2cCArRul3ZNsPB
T4nTXv0J+ecOcXsbiliNzBNSB/5kXZvutomX5ZxrRn1S1PcXfsPiYhJW9DVe0n4nU8JaZN2MuySw
ymNTJNYGtPALsYlqiDACtu+J1Xh3Fgb3bwZwwp+OsP9WyX9SJVu4wxAX/usq+bl/F79WyH/8wB8V
Miqjv+gkT7AZInk3rVVN9UeFjPb9L8iHTbRa+o+MM4rTv1fIuoF2zffQSXXV0Iv//R+LjI4VSofl
01vLafM/82f+JqCk+A4sdEXoydhrsWj+JqDkyJaKavbnm6BcNNiPvqrnefeDDS0lIyBkGwC4yEqt
z53DEM2YZ4YilFR3P+IS2zUF0qwrErUHXNAyNaYHYgqcO1kbHWMEMv/SmFAoS+kDLCMpXcBFD5pH
bwpwa4BlxH4W8RTIGmwm0VnQf8eV31bE2m0gbfK2qpZSKohMw6j879RSczocFCaUCVayNxBgc4Tt
qWUnJF7N+AjCRLcftbLyzG1tC9PeJhmV9Znv0raI6gJtrPOxdAdr3Q0TaSacC20oNA+ttGHmqCJl
aCUF8hfS2EEwu/FTKU3xtBCqxHuHYwJKlvZFEa7MINJu8U5Jkd1PHIF7QpqPC9FUO1HFw3vA2xe2
nYyzEC0WMic9I8IcaVPhRQGdVrM8ZWSfMQgL8Scxf1ZKH5uz6S1MSCnV/OkqknzUjvRjFUGHuZbM
j7AChkXf6EmeJbvYrh2GbibZaMTOxjqngYOhJxxgmK3kY5MDoC9YAm5qtrGSuwAeic73f1eEnyjJ
P1sRcAHyqv7rFeGFNLW0TP5hUfj5M39bFHjz0e96SJjxoP4QIP5tUTD4I/xNlkXUzq/Wbdv5i05+
MSZEuJUE2qzMyj+WBltfYw8ZaBPigw+ZteE/6Zr908rAemXQDHcME/Fn8LujMx6QFtK0UddBfiRd
wQH7yy/fxp8LTOFO/OMH/Lb0tJNVyHriA/wMpi9H7yF4T8drGpDH/Geq2VXK+UsDEJMhCZKWQXKx
HTg4Y35zi5FnZRQOBHeQDQWxEEBhoNrpOEkC38wb563LpsT/ynvr9/per81OY9ZDgHtanliKm0R+
sFL6yFVokgg98PZxm6y5o+XwDWMdObGXoSUJzD7rQJCPRRdkccv6oM9n0CJV/DQ3/Y7sEefU9Zlx
lzUV4rqZsV/ZRyaHARJ3W0phc6Q9gOdwtALoTYVsRP4IfiYZGf/bJbEIGy4Cn2vqzhQi5WBygK/T
53kqhnMRN6gvFpYXtJtAeS159non2ziTu1x9xirqTatY81hGJAfL3mwjJN4sihgf6+WcIbvVHhWA
Q7vcWlQsgVZHfZ71E4YQMhW6/Y+b/99zxJ+sGhQX6Pn/9aIRvRfp96r9jWj786f+umxwYFgDumie
oyxz8Ev9/SwBvcHmtdJpgdM7x+/9j2cJ7Mv02TFMmrwPf1s3LBrx1poFxpOKagMvxX+ybvxuMNRR
bXPOdH3sLxwsIAb9Y7Od1kNVN+hjrqWCzj2qdWpUWZmXo/dU472rOfMpm0g73ep63r/2lT0+Y+Kl
NuyCsnn55dv7PxYZgyX5H958rgasDgp2z9ahQaxJtb+2/u1yXjVtw3g11wT1BOUtI0RIoCKCblDR
ClL28OqNNSOwVvrAPpusZf4bL5SEkR945UfQ90ghCNQeiNIujGf0n+g0gMbE3+iRoSb991f8w/X8
61q1XjHojdW55GCQ+t1CY6ee4N7O/dWanARfJnOy55GTo7XrvZnBxci4AvWWF/vQiFzSHeZct/Zy
bJlutthUP8TUUbuCI2S62qcQWAHZ6GPotWSlbKGdirt8CE6yC8CkecxMPtHMPueFQnrARM+9oXQa
5c/3/ev0/5Jv1f9xH/75Nnjg4TxuBDBlDDvrbvPLBIbZSKK0mn72DzxslbB5hXZu8miAa5vu1NQy
fImN4vO//zJ/8xNgyMD84TP7YTVf/7Ne1i8fyzExwbaTlNfSX8jgzsVwLfHS4TsTn/79J/H6/MNz
tn5SgN+JSRawih9zrl8/CRXTvBA4UV19UBjvHIvBrGL9ms0wr8VWbwbUA1DsfFSqlqPknz00v024
+EV5UHBqAFtxXVaH3x5zTK2woOm1XL01y0pmAwAjWqTF3lkkGZb0SlEQcev3qmiUGTZ55X3ri6A7
qmC2L5NrtTpzpqzKV8WFfLba2rQ2wp/nb7WGrFrXFulFToAl4QAcexn+xIzxu6tovX5vXTYgz9Bq
9WzWtF+/Pt0dGBk5sXYD1FC+p23fkRik5X1ph9Y8l8lJkWzwJfHBt05LI3ZuZU8pVcHofe89Ytej
GSNUhNtg/JYy6vkYmaJ7p39/i23nn26yZVs8RPjAWVt5O1dHyS+Pk0sivN6K3rrJ7GYNotmwa64o
48kKdkh/h6idGv1+lNhHQ1KKvYj4oD0S6npf2LUZMfSQD8yJ5ESjSiUvKkO6Mnc95AqnqZ/RGvgb
zgQxmu+MAwLY/Aw/AYzqqyIh7LbRyCdNEoMmA8rQdYY+Cnlw3L54MLPkLplLGqbF4DVXjCdPvSk1
a+OOnC6IKzJZG+xhwbmj/OxSCMd/jfXBPgnXNy6MosYgUrqgBGKlSo+a3zJeUbO/bAzlaBsSAb7W
XdM/ArsEk69k7+3iDoIc4DnzqREEPO1jT6Pvu9Ap/hJYejvSPW+0N2JvaeLXnXnMCTs9Gvi8P9Kx
ZiZaWzJ/TIN4AvfX2HjN4xaNNd/D3qBSvW2UnLa2apudYUzGuIX0CFQVPBnpE6Mp4q3sLOLi6+BW
xFqib6gP+wNbjUngjM6B0ifv+vMkdXE226B+dKyeBmOAbG7XuRLXs1u1206fsoVpn8/waZr0d5Mu
6/cuweERLWavD2GZmGOym/qs4uVQajsn4+DviMQSmwLB4aHkr4Ys5y323VGOHiLwLNMiL0bt5FUO
rgu7B39r9Vop962bbxOMGfq9QkuC2LLV8UHwJPU7q8fXi+/emy4QMdBk3Q+qgZGJFYAMmvYDB6Vp
Lq+d0iZPoi9rWcqrr+Yss95Ck9UPQ61f+7yX+XRCibrsx2Do46NsV+RzBjv5Ufc0pJ2zhV5m4B5g
1Wl0ZmSLgAS9KUmlY8hY5Mx13VwletQWPdISxoPMpg/57Kl1JlgE/QUxn8UTpWI8vCpCh6rtGIhm
8e3Iq+MmsDtqfAIG3TS5K4u0DULCjmzgktOah679zEbH3QMTolpz0cjxGuBxK3JO5LaLORUwO04k
5EzAIEtUMlFc5WDAB+nmQbq86xDMyW2VpP53hJZeSjFcmXAubMiUV1h2JNKW1s982nLqGuJqO3of
rdgSJe3JbdyNkNeDllT13QwEdT7oXSfryDFnEIPe5MzFHl87gZHcVvNFqyWWCov4JCJnwKxpCOd0
FAMDyUcvmZSBPFotFM1tTjP6YRl6y9pla/LWmVjODhWxJ0zRUy2MdfnIZmxR84ML3w01V4CZoFgl
+wbmZwacc61upD/zaGu8Ki0TGmM4tZbjwHONrWSALzByO1OvW/VpKM6Xb0UOdmvjcwGEGpK/1Rxp
OthwwL2c8XueN9aGOTGWlSFGV6Wptg7uMjALdgTzBHCcrLNFO+txwbC2RirF5QZevTXgAlRHDGMK
q1JgC3KD+HuhgZyz5PGhwYinB45E2JMd89aW6IG1MOU9Mq8Gzib8LT5Sa+uJWsQcrsAmUO6WQdPf
EDDFlpR0IG61MMDaZO3iVBjl64LxTDCJkvD0OuUsCAr6pH/6EZiGJQfBkm/w8O4GzBrWFkwwnHY5
EFG+KawmJ2JAxduUcdxroRQniyzJxsfOcdWXuhXWYfTgqYO4hD6A+ijm33GKKpvoyILrW6basu+7
3jGejF7jbyhXA7DeG7M3MeeSGbaVySQFu/SSzrzFahZ8+pmFwCAdiZRXYBa5Q5wIrF1v1qQ7oUou
rALSbJzZwYJPZEnwdEtWSfKrjDVjuycLx7zL2iHPH0yf+cSR/CI13PRYQzh84rK6gzIBdq9Sko+u
qgXG+2RKMur03Ft/+fXSFesT17VGNqOB57fAJMJXJUCyL1GQj7w6dZHkKdQub9V5ouR9T/gz1lSz
L8Wa58Owh6QAgA9HodppuMGAVXdhivx12k3EzVpbEK9IB/j/K5GcDXyIpsBYz8l9KT/hTAlO/pim
pFgLJ+e5mBP3XZUWlzG12fxg9ZPenROOudmZSWqePfrsFvuu1I1rEyTNKx5yZrPCFql5qvwkGM6x
qJKR5D2PvKrFmy2Gs3ytVKvN/DUvcuduGlYoaEP+TP6C/SLpDhJl4Pd5CdY1JF0j5KgDgKSn5ky8
V+3K4EXDAo+nsabfR95Ss51bJTAI9N05kHkGNNwEdMKyB+EmHIUZfAJXPibbwixXwD+hWsHRLiuj
+SZZkOcTibC8G2pdsdE3anyj04jDmE0GbKyBrcZFrlH0iH6ExUzZa5vsjTFC8KTNHNNPS9C3xkff
YekLJY2h8Zgqk39qkoYgJlAlbrKaa4QiWChwd0uFAPZmmr3iMUMXEfped7AlXsnDolxuTq4b3bKv
kQtXN6ULD1rrwbFtBQaW8ZzMqhYR9lMpnjiJgJ8MSpYRlk4iDXLB4JB8wNFv2AXm5rFIGiP9bFSL
5aP74AQ2P9e9RZSFaLBdboWn5clJi2v1RSQ6ufXEj7n5McUffT+RPUZGwdB06TZlRLSEyCgy625i
HotAwMUTGzb1qKM5MIQ9RTOnm26LlJG7poDvJhgA0N2HftcVW2OyJqi6hemjU/Abnv7cnghCmEn1
7Eir6NzmRRGz95T90Lmy0wWfeNZld1cGpcECa9ZBtvMR2CpcqK9YJpRvhHk+es+OWeKQVMRW2jc2
+efjQxN3q+Uh4Yne1j+iOSgc5umSWn1eXby2FtadOemFC163wlXIbFdLbvJWw7IhMamaIaexob8p
ipjrb4McR77wc7EBf6gj/LB572fXRXlmx8K7+XEq/W8n5U86KRju1yidf91KOX68i+rX7usfP/G3
NgotVsol6JRUpi6ztL+3UQzvL7QKyUVgJPJj+PLXgQxTHApinTUJJT6wpr83UWyD5iulO61ZujUU
7tZ/0kSh+fJbPbn+C/RxAHFyGKSg+61jmRv08xhauleUtdoxicupOZe4NPD/sRWuUwO2g9yCiaYH
bvG4pLUTfEEG+U1AbXm0vdxyIqOynqgWp5fc09Kzw2KFwtb02Qrq0l21DksXoBWz1vkHBgfWRpEo
1TzrZRNrIaeNtYuYBzT/xpEklKsHuLMJVVP4O0xU5VESDhp52cBseDaSDfRqm3O47+w4OpjmNguG
+7xmqQszXcWXwqrrSzdwWJvdsTmZIKY/2PffbHI5P+yg09m8K4/ua1q/kUenR7YjXWxT3btFjCy/
L+rlDJgOI/JlFtNBryt7x43SrmiSYoxY3rgTdILbOGp/Nk29ejDkuHO6AletmaoMhLYwX2igrPjR
egMPrY66VOgPM/Crh35oyg1MjZfCSYPniYn97VRO6/4TvEyT725HfY5ia5T3dqYROTi05rWVsj0O
RD5GepamFzlW6ui4Ir0JtOI96BsKQZgNW5JU8nNDVOe+qLTxS5d78XEG4LvLSwONCgfl7ZL5xjda
2NQ3PqKxQ2Cm34bBbLf4KqbPjuGrMiTgBWQ8J2yMY4X/ZpoD8CAvE3w31YtM5Uuj8dFlU1PnCTXC
ntGcrWWV1RaCF/V7jVAx9BRpNmEhR8cIybuWj94ygcTBSVIf1yfyuRk7d4cjBz8BYo78AL+oSUPh
eSBHq9HblNo4WnsdF9YM6IC5c+jmRvJgo0y5I5xmuY2V0COx2M1FWCan5VSfHD6FTCa8fPYeLS4G
fqrT9FGhrrk44AAuYnatG7By0MgYid9R+LW7suumr71vF2UIx7Yn3EmrvwfY9YcQhauxl16mLu2C
7xGoOfbq2McOP7kq+RAY4CLg8M4B2GaJ2nWovbNB9B6irt7TOTnNeui2wQLXvDT1MmrckcgDHzOi
Nc0wv1CgmHhs82bGM4aGwUzEuONggC9Xk2SWVNIMzqNEfhf2tY2NcGyqdhcQJcHBWl28xq1P3TJ3
zyhIS0maiim+k5FTbX2/CA4e/P1L62gf7uKAtBICCD6lC3aqVqM7g6QIoQsHAEJm9OAFomYeIqE8
1zFmfQo2sSsAoX0ZXYPohNRwv+aIBk7LJEcRuaNw96rFYNgavfpMx8a60/LYg/Xjx7uBlmeCsFTN
50ppdh/5flydfIq+GkUiQooZ0MQdc4FquzQc9l0X9hbtDfzzGEge0Ks6e79Qwyf8uhVEgBICSEYM
cegFSXrWaoxfjgx8SeeUX4kmDTBGkzYT4hGF6K8dZ4TDY0bLJJ63qfKX53FqJpqwjbETzM83Ipi5
Jb0d3wi/bO9ct0F167dPKafhh8AaDi3ZjbdqQIpXTd4JLTXBuFlhTkeUT0QlgJ+5AxiibQ2UjFNI
NTo/5l1R38huNJ9MJC9vWO2ajbYmhAyqVUd/JgjyWDLUeZyyxmRE20UEVeg30tO2elmpezIw2stM
3GzE4qlfO3RJEWE9qF1karEoNMEmYcB9XBrjg3aJe63tpjzSmzKPshvcMDU6GeEVM/P1Ju9bSJeb
OK2fGLzMFOKm1T8ugZi/SUS50cJw/DBn0r735mY9TRjovAFTIuFLnXzvDVO9SQm3CXVz6QmAG6bn
Ej75rqnLJHL90b3R8X0QfchCFMCa28SYLl+tShcHCswi0ijjt63dz9omo0J6ZRNcDnYQoBbJGi2c
lCAFybWH71msVZQVafXQNa6B/VKGKOH192SRybYxCAwxOZZCYO20NqrRxLyaS9JfWlk8dFU1nARR
DpHVtvUZG2Z/t5QOsRSTv9zpRhrcdqLNG/TX8bK1E7fdS7uinWdN/oYm2LgZPGF/o6E1bpU3fSXP
ds38JUQ2jHNFVhGWtovQ7CYkxkm9ILtJI9uolwcIrcGmtyr3FQgU74bl1uAafIzEaT7dlGLQWLAS
XJhOar/lBbIe32vSqxGX5X7RK+NdycTeTP1CXgtLuqlm8+CMpHyABImxOSNvQJG6+EcZFA+Lbhw5
Pei0Y4DZb3OdNB+UPU6w8dLxXpEJ/qJNDiyoQWIxcEtxlxXdXIZak6hPOh7FU4BS55QQLoC4Po+D
A+smJsdev3R0ax6WZbgbCHojzhXWAY70PHJ49p6y2ZQrVIFRnkviZmBgd14IDA587SGfEXhP5Ev5
qKtjUgLLxCcfxR12iU+XAoyBjHQ/vmBMyvcV3utjrKOsKxdssaomtYwXSuwGia866Yc1mqkA2OHH
8pI4Lcu3itW7SPV6r3GOPy9j5301vKL40na1dnW69r6zpPMIluVZn20wqYS0X5SyPASq2rL3B2/Y
No43PlOMDCfcqO/ZkvVHkcGwavJ05eTOBKhifkDoryXdKTVjom8JQn+giV/dLSsEAXCEM9I4u8cC
bL5i2FYXDIloOiwjHl+MNNUOxTI6F1mn2YmZ647h05pWzhDHtT9NmrJDIqaKbUrIRugRLvIU+Em9
H3DX32KxNKKpqwFeNPE3P09YAhMh9n4XYH0SXXHoANFehG2rc8045fMYrMHQHfE39YLfFuPH8h00
zpOQZUkHJvMe85hL6I28J1QtxvCYWTcjq+q2FsZb3KF2k5UNMKGuMIhoM17j6TITkvxM7nV5auAK
bG3ybvYMZYJdOuXxWzvME9TMtH2btBIRS4DwphrN8eipbNihV31TButKoEtjh5yGwimR22IQ79qA
26Cdgf56KIlPQTCTNZQU56k/MxCzGchUcrzaBaQ24ev4SHWveCauuHzkUJWfy8ZnqyctEXWkyv3s
tqp6Yx94SX3FZ41myKr3pEG1aH3x5pWTo+1FZqPjFmZy8QDUbJGMD4ckzlKGWKA+7hqnno7CLozd
5A+USFnmRMpWb52xBqUwr6r3tHOW21p5WZQ7rXGqlrbcOb6a3gc/9ouQBh+HlLxzHaKek6YMXaqt
jVMt09cyF/WbCyOSHJ7uXSbkanMh3+Ugm10my4CRQam1tN91P5JZrh0SEsTIoWpyiYjPzktkM2aO
3tR2gVgwi49wS3/gHTfxOC7YTqSLvc0JdGzceXbLuTfqU70geod8Zz2u2UFVTKnPOhCxCddMU4j0
ii1N/+6DdQt7HDj0ESETV26fbOE4tYSSDXSli/yeYLXcCjtiQc5x3GGRK03cddzqN/quycGc4njr
lQOtmmTu8lOLpyVKhNZtGhK2UIwSVvu5Ef+fvTPbjRtZs/WrHJzrwwIZnIHuBk5OSqVmWZZl3xCy
ZXOeIjgE+fT9UXL1tlO1JVRfFzZq12DZzCSDMfz/Wt8yZbizen8h8Zg3fsOCRE0/zi6tsbO+6cYv
rgBBMSEMoljbUS52UTUDi/oQ6AhHBgb8IKm/pX05QCQqqyIs73yd5LlziNwgzc8ITwvru3EauGu0
HbVhoKeo2CmvMgljBpNRQWljXWEZRAOa5pze6VFtjC7KOkCZk/5OHyB5GkM+IXsE94HfU3+hURjt
JjE0p+Rpowa3BmiqpgrSQ0+V4qJt+OlaefVnmzfPJitrxxUhbIVhuwFxI05S323I12t09SQj07qo
Ux2c0pWceYNR0lz6vXc3gxVBV+t6T07RqIg609ycQXket+4cSsRgrb3KvFIejLIpb8wxSfBNEtK6
qpOx3zsFmn9mg2nDrk9saoctjBhVCUIjzfeeLJwtXmRxZlYKN7Qp2QLgiSeUOdE4rqbSXvkG1zPz
pgZxPTifFPoMDCtpQx64sgz6c2ZBxYs7dztCDlunRTd9JhX5Ks7AcCOPC/UHPYbxZshinGrYmMyL
qYnFOuuU2khif2imu4HX439tgquAVZjwPE3DBpQhe2RF0tBBl1l2FwcFLXi2npyZ1HA5VXP8oXRn
tQuWmx2hbTsxwo7Tl0vc/aURDaPEBKyHrUfL4XTKVPshikqzo87Mj/Zz6J7mSla3XYzSnFpSey8T
aT1YTdA+VHV8H5W+ee4I3L6YT00sPaIBIlKF6G77wTzzUQJ+gMaiqk0UNZV/gfnYuSGy6dGfJS73
ZtZEsBuJSYMASlOKJD524EDgAb7Ki6n4lJlN9jHIxugkECENo6m3xAlHoe5jLvvxaYBltMbsASur
jJsNn6jaZeR1EZQuqxkDVudOK44e7HXatMUlkbjj15ldHzt+wyVxq9bTdesvtR1SoNNbGcN/MNsZ
ZgzUDrFVgWFtkfCFp2OOwyCZ5+wcHmZ6Wtqhf4k/nQOsJlLSM42vRVDPHxPE2u4KGh5fDtNMvTXd
fPqUM1UIRv5oEsbtz1fGVM8bLCsRRIShuKXPF2zsmXEliZNdYWcClSvIZW3Y+a4xHRBmk0WICDmW
1Zw/l42s5cpzIl1xq1fm4tKe4y2C9pFunkqzsn2ouzEoryz8QzZWG4/DWIunzwR1Qylr3Seewq9B
SWR+MqbKHK+t0Mj2XkJuQVoNxvSpIyhW382jkbG+Gh0H3u66NxWuO2jjvsBdE9pSj2fcEhmAdorb
xFvbyqr7fPX/UHqqxOkMfUkr8iQy/PauKEr9ToveOm7fLoozE8GMz66M6s4xLbQhmTIrbGu8jA3l
boxQJCtLIIzQJR1PWq/xF1HaSN7Fwc7dneHInZtY28CPLpp+3qq62/JVT0IyCnMc/7/Upv5CIHGs
VHj+bIsMcNF+INA5EkiU1tBWZiTGS5xZl37DXjHao4b7+xcB9LsofV5Cr37vX7vIuTj0DuNlKiD/
85eHca7y6xc1wj8lyXdKkuQYeL88kFdOaprntXx8+q0o+fJ7/qxJmmKpSeIVREQBifmXNJ8XBTnK
IBfv9bOT+l/SLgqZSBspPkLUQsktflGLe1QlLcDAng8vFGlo+Heqksc+amJ0goAAb+QtXM4Jj8HG
i0EPTD0twwCFQcbmgjyQqX+QQwjQ6ZCZuD3aFefNgLXAVx1Gj3Obpsy4jYE7uT7bJVy9TXygIRzk
9kX1U4RpdDQTEGUGz0LD/kV1mAfwtVLCW58V4VhesqjHoAavgsOFS8VgjmE8YLhLIImULi7H1Rj4
+I+hV66NwcN5dLARJdEeIUE2nZacmsH8LCoYbGu2XLKZPuDmAaa+DZx49G+CRPdJeJWm3XYEGLSg
ogNhkHvdV4vfsJcz+xuETKTdxIDbgp9BLf+8Ne+8NUj3F87rvy/kX6Tf8GU/Vr/W8n/+pp/vTSD+
cBjlJIBzvPbBGKH//RNAYKKIpKnKcAURyQKFsujPan7whwVcgBo/QQQkHC2M4D+l1NYfJF+ZiCGd
Z6CB/7dcFsciRBIdQPI7CIcWzIFjHrssWm3ori0UOaiNQ4Akfooy1XvpkoYeJSZ8QvaVU1lzLLeM
8eMzWVCDFWokksjGfaSeUCHgQbhsDxpwgTdPsMqcgrjOWLRII8Koom3cIm37qdP9t7o9bsGvsjZB
JiF5VtxaOrTuEgz2+4pBQXQsIjnLMzvmoIMR2Fi/kEKGpYpqgDd4RwlmB0dabS7pLGJ4hwYLOkfu
2e+XNOg6NAaBOmc0R87rzjeouw0WQXSZ48QtwJGW4rslgZuFxEa0et07g+/sQ68foh3xClaNJSRF
zzkPHG9hukVLNnmHZYUmI+oBAEMaT7hj3RHTRUPdiar6jH0x7c04reg0WnnE1qqVLTIUV/dIUoA3
ca8Nb9C3xQxViMOE+wgRGSxS1gZcKgRnGm+lH9H4Z5+OBOFFReDxROiOdNRtEExxvJ+8VNxJy2YQ
jHbhPkob0tjkEIW6BexsXWL3ZR8HHA1K7piGNJmt5ZMjzYKw0yaxuLMsY2mtPqtAlMzaz8aiFog9
SF+0hNJAb8nyaj6LAVDW2qsFXDqdlHyicCIwcJqtRH+UrZug0mgNYd0JDPnqjChgX1xiRPER9PiT
1zwIu0eS0UnF+EP/P68N4bvDLQdwcWfYVFw/NShXjC+26LhzqdLc66mrETfIJkDYM4CBmdeRZ3Bp
iEf8aoNtUW9FNiBdQ8RnDivDxGh7HQ0WqfCIoslbdEab75/llftItmp0308eMYr9IsmFdSzLTZt6
N4m3qClNcHzxNp0cnoLndJ16QHgxNHtnBuWz5T4y9cMD5bakRkHHV7sdgfXTDIUSBRkxXWdAe4rk
MC+PxF9uTtim6HxGcrrPQvI9rA3nLmMR1RM1S2dsvgHym+hVpnl57dixgk3bphZZRRI2KEdYi08p
PX/0IRiLgox2P94UbmtRRxv1dOd1AniDG2qfgkPkqNUM8PExzjr3YkI2cW8MPpqOoYFvYefxoxid
dA9p1AnWQIf8xwo30KfGNhGuoLKpURiZ+nrgaBOsk2zkjpdFlE8HoBoIed0amQqUX9XdiHQ2vI1L
wx8IsPS5vWNK7eLK7DQNKOXGBqjrEjqStUQXAZa1NxkjUnxDgcezS+3GGX9MGS2Uz/xjmf1o9KjB
NYJizDzYMWt8r+6jwsdAQEodWnfUQXk8RW4QHW1EI882H2ea/M/ZqdwZXi7KQbyUnH856ytywtWD
ilx9i96aF8GYfW5wKhrhneTEsp65Yua4Hmkl9zGkO8J1I6GvHdtt94Ay6eaRmcut9+ueq3g6R7JB
fjaiBfB53Bc/XOQoPQXMsyrJhbxDYmcY90bvz+05RghDYj+ntLkrJgCpH+dynMKPqWOW+W00EMih
SwOfVzTY9uk8AJJfzVPJvZSE7i1EwRE1RRguCbWNWco9igJETA6zSnIALwOf63kgA4HlwdVGyHvs
cQwFZyUd/hQ92syhlVOLu7RfTqdYWRLvQRdBL64yPNK0A2MLtZ9vj4AJPWBk7JNKrokSA9K0H8US
bYklYWyDjY67JxsTS/5JMkPA1dLR7EqoBxUN35WOEeBRmogNuQXKwp9EDzo7qJbe3KYrpHWZod7X
n4I+avPvLkQm0a6cqUU8VVIkElcl68/crkSfxWghKhGUZAzUHiKHRHAepThI3Yqsh9j8kuqZxl8a
B5eVbYYP7tBD+JutD/4Q63FNsnT/cZGNbfNOJRuflOG13VPEtgvqdHYUAZUrof+iJKTZvUG55+4N
NXrjee3Qpkg/xYlDYikGOA+PeE0fhR1aA7cBOtY9gBCxtkvzi0ELe0UQNXS8qcI2k9B/2Fu5iL8W
KvK/65gCcGXJ6qorvHOaQe20zQupb7zaj7+49lBtSxapTV3BcgnaqPpC4kG5ExUeuzU2PXdldr68
DmPAnJBzKRmJOS8u0iYuPopMwUUzVbebjU6vjEHrdSVR+w2IkK6GYi7PXWfot/3oFzdM682XLOyT
D4NTXI8+stQTCS5k105UlgiHqU4GdHwfYuUVH8fSUfFOIkA8D1nANgWZcYfCCPNdYDuAMKA+0931
EZukg13fseg0DxUt1gS0q6p2KJjrTwnMR25tmYarwGN/u/boK102nrZpMQ8lekNf/UglXGSqic5e
zLgNx0KISzfGFrFJTBeopZ7YDmyUFMNZC4OPvmA7FWsO2PWpD093F7vWTRbVzckCaNiAFmoeslw2
6HHE4J1WFLmH7VTCOoQYHn0AZ++dGIpENReq/NrIjDnYQXn0LuEdt2dM2Eg1q2o6HQ0rPJ27HDWu
kuTvCFRuLbjzfVIp725Ih/nJNIvsDB7VfCYrSXbcL5vPvzipHykz2J+gpud/qPxD8pqPQzHbGvhi
VjTRQXfAEcDeF0TU2SxC1OkD8C9DfYb2S+7fvuqy6/nFFfJ8VQLWcLCw00Ufv+yafpGeO9Gc+Mno
hgfAaGBdnZSJoekESsW3r3NUh3i+judzlZDdnjDNo93XkNRer0JUtE6+6Ex9UzafKfg1n5FhMmH8
/Yv5ZA9xO5G4vDpPWrzDRswm8EBPmSZGnTinCiTi+jlS+e1Lvd7IwiHB7cxe3FwM1Ucb2TZG2Gpo
0zugWrAuq56ttzuShQmmtj5Tfh28M0r+4noW5xCLYYIbyz3W75CWzGtblC5t+SS6f1mCqgSSHjxy
yO8bBTryvdt5VN/i2fHlMHGxqDg8vOPN+kTzEjR4R83Zq9hd+QZ2PrYlEStwhVoIVBTOHHttlAP/
bBoZy8fbN/n1IA1IH+I+m76PN+3YZllXTmtqIp4OfZ8C7hvRnGsLh/j/4io+rDm0SxicjzOkCqpk
VZQq7xB3idzj0UxPfOj174zNv/ouHCjReVGO48VbbvYvL5yHzr11Db5L2Kpg46V+sRa6+V8MExe0
OkErnHY4bh7LvGAhpU1auwcRkRtMk49BAWcXLegUddZl16ArfafS+Hr+Yk5nDuNrIcnnsr9/sSod
omksPOeAMdV7sPogPszmwFakLwDPVcFE6dlTM0Pk7cf2emZZLG1k/T1bsV69EdCPU5iorjjkCyog
qpknO4/M5znzgncCm/7iKzI4KK2xB8clfTxZYq6RXKoUBy2Tcj2VVn02q47oPocBg/452EBQ+psV
3OXtQy24pOwCPIRQfzRDDyYNZUQP1qHwWrmvFnpCYQagBMzl8PP2vXyOL/p9OSCcBx0OtVyqca/f
tCSQAahnE565gt1OJoxLed43i9tmmOVlnRUAzaKJbTJqAE4V7LXU5dAOOto5hnI4XNTuYxGD/7QS
ZbPrhBecXAc5Kt13htvriRC6OmV+3HeA8jCTHw83d0wpmjHCF73/OkX58hmYG+vlkCH+XpE8995a
eZx5y6MIzcVvyPKMfjLwjyb7GGWHiFjjDgaodYmAweb80GndPQXSYslMmmgZ71mKCL0v2s/D4C42
D4Cxt60SLekncY+mm10SZPTJQlD+9uP7q3vCTMlYsWye3bHF02zJihgC3vpyDth0m0CFrdiwD6qw
K/CULdFxb1/w1bvnLfnrKF3ZP1BfOb5gm6pl0z/Nh8EBy61I88hwAAFXZWXnNP73L0bdaBHVUnh+
NTaDGf5U3IbTQccaMEiVh+f0bznlQNfhlPT2xV5N03wzsCokWyOCYjo7euvKhZSDBHs6EPPAwRK9
DCOLF5FT4tsXOg6AFhAXbG/ZPLh8OUzFRwO5sBOENMAc2UFIHB8mZ7h+DSWryz8ilZrVWZMNVEKc
2AnOcf9g8isa3ybJtViWwbrVt1gYqRMYI4elNX3Y5vPsS7k3DY9SFlUvRCfFUv0Y25zD8Sji6bqD
2EiL7e1v8now0ENYuA5Lm8F8tRVKqylACKrUQUCc34xVX5+V2CtPYnN6L4Tx1UCnXcEYAFVBwdZ/
pWLuYlN0pOVJuuCArDGB8P3bmhg2Q+j6zKlISX7nyx3tgRyWtaU7gVwPGq356ilVc2lbNPadg9dq
57vnieEgnSi8fy6IeL6iqtPOhfuxJo/onZdMHA8R+mqCFpBHb3GRgbMG/D7XOUXUpc6I7MhCcFbO
hN4hrSScEMOsLdajjoKvnoWAYkNX1VKXILR5A20Zp3vRTRjThcAyY/YlVcT52eZDrNxysOgl09W8
WPhkCTH9pOfPv/bR8KFXrkdSZUMDIgyFS4Leb1wQ+PdyGV6FwWJwMnVQIg7Yw1GLCE/hLMK30q9V
lFP3yykcRQQEDHgrghhU64VrGtgVTChzNyPVhkt64saJJm3qup4sRFxkYwBUHzra5VhyhHlOWRoB
rfLdPsTHI5vzLke6v15QbOOmntqZA/ScHsYgtdaEerjw4XorQV26QlbsdtS+Tbipjwv/vuadsYjp
XPeNVVhPowzwX2QG0FSQOc1SDJ2IQ7tGwM0/+0aLS82rKVGehDKMkr035JyKqnbmV+fW/7n5JAmI
yksI9wNdBYqTz0kF2eMH1fJ0XNMhlxzcJ6lDKGCBoW8B+pXJtV3SyzvPY1LD0bQpHoggTVRua6ts
8tt6NlkvZN9ZWKlMDwWQKYJzwnpqAkcaSz1pZfItRjtz5++2V/XOhWyB0a79seAxEyrBb+Sru4/u
yMf90FghKMFcZM75wN0kZ6MhZm2X5l2ud16DHHRDHYTKVTcnFMKDErH0drAX/2SPXNr6Oo8LDExn
vfFBE/QJPD+fWbVCfJaUcJLCxrlWjeA2b63UwPafM1ySa86rtVxjdBubtQH543QYJN68DSGexnpG
t04skWAKd+eYEVQhG/dWwh9T/9wZIms8TbSBl6DDnpte4jWnphUQkoIhGtKKQHAfUmWMe1PLO6uC
d3dCR48BBtDfE5dGKlkbnvcB1OwZfXPsUWpIvJq6GcBoovAiCiEBquGp1j8A+EfXwTzAyH8uwblF
z4exE229mATTKME4qXpFptbLawVRl4TX5Z0ZfTsLHivCz4j9WDxDGIqTdE+1l9q86BymcRSljCKC
5zmZJRi08VarpWZuZ6r/OqWEIuyeoVcvrRkrcB4R7y8bidhhbxfUvvNYWtlSiZWU57FLcvzRlkkF
/nn5A45LkTGhduWfY+ro51Vupjrb1YRpqLMyjHlNy8ag01BMDjfWiQYHIykuhvRGVS0fxDKpnexg
o6rbishC/aXHCGkMFHpcLIRBHeLdc3VBUmCW4a3tZZRO34l8YMhmsH+dm8lqqAIneMhGm/dv9EvW
Y9oAKOITyhWMFYduDsBWp7P9T2zM8w7RDxj7xl4VOLZRrkTRXFKbNwo3OxQSCedmKihK7qigzQEl
CdiPh9JEftytqJB3AQWyuSc6/WXF/6dP+l6flHMTS/m/75Nefh8enx5/65K+/JY/1QULaQ70HLmh
1FQWpcD/dEmtZUf4Z1sUDYJJfQtSh+Oyalt0TH+2RW3gUwvNHcKUI0SwdEz/6z9+6yWqo3//P1Vf
Xtdp1an//L9oFFgPfznFmOTYLpfhVMj2lPbRsn345YyddA4cGNnYFz658/fT6IBJti2DQvJcgPVM
yrbd6KY+IHxoLdjL7bA15xjToBcUJ71Q7bkLxUA80M3KL2s4RclZq3GirwVaH3cDk2m6twdneOjy
Um66eAIe3HAoWkOeG2hIdRn8Ty+phpN+nKzb3lb152qIhquZ9USvA6NC8ZrPhHGiHpDjLi0d7DAy
Y9qV+dCvEPB3Jx5LEyqrJNMIA2Le8Y0x2bQnpsn3dokOxngfOtbcb2hMmF+zHhE4yXh5/tSygl2l
sTuAWqDXcgViHOoF1Xa+O7JDTB90mnL/tJ6kQ3CahfT/BFMxv2ovJe4DJ3fEaInbTqf0cGA9kUSm
gXnyAdlbRTPc77qFf3sjgqa+Cckdv52zfLhqi8XQ7RP2xS4VL1Gk6uEkG6W/R9YOly9z6jlGNd7p
a0meIopNR1LrvAC9+rFrGngbxJq94OYiy037kzISse2fBC5d6J0vOeabEFBLWZnrfOHY2S9Mu26C
Zue8SL4w4qL/yjgiVYCA0qAgXO+TagqHUvuQs8OQCGRQhADiH/Rl/sIQWHxSIRk/sSx3DdYOQofo
ukMdIDQVBEEEjmcHt3khE7gvnIK2H/zunA7TkGziF5qBqUhnAwoBMHjTOmpYBo4/72fNWg0GIhvp
FsA/LIZD1z1zFayfmAWpFHGEJc0stJ7WQ/zCZNAvhIbuhdfgvtAbnt/ifya8dyY8QHZMGP9+vvv/
xePXx/K3Ce/lt/ypCnH+ALTOoddDfG1xYvvXfBcEf7AHBeUCNodJ6JmG9XP6e57jQGtSxFxYOpRX
/jX9mX8ICDscmwiWRh3y90BZRyfXRY9CR4ZPwVlBLEnLv09+mYUOVdmOwebdcIBEZtO870NH3f1y
T/6iXXF02nu+DOXlJZaD4jCz9u+XmS2603jTjb2akTzkdTlt7N4Mrkqw9e+dLI+Oe8u1SFRG6oLt
H+HG8fmHZ5GpkH3pfrLq8Mr05JI+ZdkHWvL6Gh8+jsK3vxwnq9+XEC7ps3Zw4KK2QR/BPAIf6VzR
YPclYslJRqAT2ro7r2WP7rU2ytrFiDaG96yHttiRgDoQeUE4zXTi1SNBPq0boxEYBiTEvaYg+Lxv
C2vNFm4KJVFOuCzO21CFJ20Uhycj4YEnJfC9NbGySy6WVd4UeYGp05DdR4Qa1SEcZLMzsIFfRhNp
YcR/udXGJvnxBOBKeZrGatq2nSpvyF6bv4dZOt8nuSPvySK8MPsp3dIPhLHRFOZ+hkl8QS3HW/r7
dn8jFDFPsz3XVzOkpo/CTIn4hd2xc9ukwh0Gh7mvq3Fv1gRAtHMr8GaZNWrmadwi+gBv39nqzLe6
+hKFBuEl0EMeTepC+8IbWxjPxring4ez2NFh5LH6EfOqkHJgLyr1TVjPSY/WeWTalYGzM5WQnylo
kCW54YTvwyXwXyJk6SwtgbJJ1WQ7v/KxEY4R43xtJuSH0nIuq6+99KkC9nHwidAocRvGZkgGlKnC
pyxQaNWtENvkqhRTTTs5S/VODgHodMCXCclWxSKJR/90ZRZD0MBGjHHp92N/NvXVeB9Mc7HGdUOo
qygYexk7hpWTZkRt2tZtolNzHWnO2RxBva0Cg/+59OthV2uz2+Gfwzmpa698wtmbnCRV8m2SWYPB
L3DP4jDomxXanwTOBDcnofd30Rbl/AlslHFD7W4+N+coUCulrfzUqwbT2ORpFpH0UBsfHPSQpxEl
i/1Aj3ZrT2l+TiWuB6/pdV9za8mMnmMyL0jKSMMDt0Btksj71pI/PlqjvMToBwXEL55MW49Yxpwz
AjA0VIP4Y6iMlEFK9dYg5QliRanXShNmWQvHXIcRySl+051lhEbYK81OCB5tkD1Spcf8YPhfbAxv
G3p/01b7Xnsb0e0996hykcA+WitUoQ5Dm7dHu2JgI+Dg7rYIlsQjuXOl0V3kopq/drqe1jxZ92uj
8/wKWozY5HPX3bZuZ6yrLrht2zDdEqb5YPTSvkTWQZ78NKtLA4bXdgy98UNVhcSeWeGwm/BAVmP5
ybejWuzTPCC/c9XFQzJ9q7w0B7oAcQvwUp/rjFy5oIEfPKuM1Ne4zAmiEHjJ1lNBDOp5MBaTPi0o
S04Qh9gImKvIMOL5PlcjeH460hwc4fAaNR6SaVDZnSOzIO6KFQE8wTAiD+qSbWgpBD0uCck5JKMc
F5PLlmIVduxhTsZh9vwHjUco2PlTLtzTMhiViYTImIKdyuCSABUvO28Xo4aJ2eS4/CQBugPBr63s
EyzFshoRctERtVcN0p3kLIyMAaOfikb3s2iSJSjGrBab7ki9Qtxn/Wi4u1YzRz7hzOFBJV3SGYcc
L0gvP+QEl5XtiRWq/DNpb/mHcEBsJkn8Xi7mkxppkoriRxMGzsgWmNPG3iOqTsNIXxFBzd73OY3e
hWp0GAVWPktrdy9KgzghnU/ptCln9D4CYAux9u3ynyEWRB8mHNTfCCyFUFiR5bBzcqQzCwo6IU++
gmUM6f+0IfntkOJi2XZlP1frEn0uL3tAu7B1HE7mPnKoneUpkMsyrbDQh926UiYpdAYnA55AFH55
7u+04LU+zMqEtOxWxhJUOYzljbad5rvDBvOcD7JkrwmnPmvwR86b3ouLZCunsT6FzBNe4ff3HsGt
8vlspIYo9fzyxhjzBVkZlHw2KrT8mmt0ZMkFsri30U5dk/bqkU45l/WHuEwQ5ChOURaTR+71vLc/
ZQf/7ALf3QUuMvQ3d4EqP9oELr/jz0OvCP8gm4wDb+Db5guy40UabPmohpGaQgd16U6hAv6fI7Bv
/UFeMz/uO4GLMHg5mP48Arv8Eh1uftVGPc7Wzfk7R2B72Z786wS8fByghy4JaBbKYJavoxMw8ZlT
Wfam8x1LU5P9YC2JbHMzjsJou03XZWK6z8ga7XZqApe8Vmpy3W9UzZvq3KpRoYtdYyx5fjkyVNbK
KoxI6UMgli8qTxNSAROy03gzFrRIx5T1BnsgWnltF/2E6CvNSJC84pTe+Ni1zAb5W4IpW24LFucu
2DhTmFJAnHtsNSe2itOW1ZGlNJTrYtQGRIFqyFSTrieVRGiDf3mQf7F1tZbu9693J6SDt6Bk+QsU
8StBAzY/qH5qdr83ahxCBPmxn6DmYg1ja0QycMgltZVW5Y+W5MHpDg1ryEcTzJR8nwp+mf749kd6
7pT99pF8RAEu6mT6d0hWnhuzv5Qs/EzoslYyfrKAIeQXDebk/DA7C/XoJMGQzfERFwTB9rCVmoDq
QaabHDCg2dT5Y63VRBC432MEO7CYK9Jb5yimNjAXFG/VtqPAy45QepGht96ct97lPOcWP4aBgp3u
yoxV74fv7KJ/P4k4mKGWMUir1HSR4vMu8Bh++U7EKsJxy4vqu4mi2/vgVqlR36Imrefrt+/eQvH8
5eZxIRvfiBOy6X9OBFye9y8XmphjSeHV0RPHdlBi2wbFqgMhwuQNh6WVOVc4NF07wS7vFmR7NeSF
DLestFX24+1P8vuxYfnKNloqunkuqgtSBo+aeSTgTfAPM+9pUIEEskONHQynBEri2wf2Y7PrvXOT
j68I2pSTCqOGQSNQth+dw1yi6EXFQvIYJoHdT/towqZ4b81+p8Tai2JgGO9c8fhucxyyluoaCpYA
sv/xyU+2yg5i7uYjSQg9fzq0PjVf9wSkDLexoEo+baLQi/ne/cS/fydBx5RXukvI+H77bh8PMCZY
17UoKjKjUlI8VuyMVacH7Kr2l8TsrOlsIttm+kYKTcijfvtKx3dZ0NHk29LW5GognI7m09xxW8wY
mfWlJwMiv+gaAvNQfmZgoPbgWzBLvDNHUQ34bUhjOPHwabEeuEwGTOK/D+kugzkTjJMEg8iQYldh
RzOvuNUnE881km2h2Zal8ZSEaz93k3javv2NnVc316PzjRrE9fE18tWP3t6JAKLCavzqC4bvKa62
DPs535J+l4TZyZwmcr4eMOEyP9FgIV9sM0/sg4cTw+1m3sHS69gQntKUXm5OyXmVv8H1nBwP33po
1zaTU1DRBlD5WAdqE4Az5fhIVG+Hjscf3YGxNUw9gh62PWbnsIui5Otlm87HkP2Nkwu0SBA4ZZVt
A72E652mrELAZevcGLiMYsedT2tDCh9v1kLw45mx5XKGOx/KK388pkhyH9e+WsrTK+WT30SZLhdz
m+0ymP0LxRAzR9iscWAsJTxTxSP3P4gzaQ8HMWg0OGcJTID8HSjwqwFHa5vKEp5SBC6vh3ZfRU1i
mPP0uU5a0rz2cdNF2InDuVMdIjsawnyat5/47y1u1jCkLWHIF2VX8xdSRiq3U4cmbfwcxlS+7C1B
xx59W2SBuXFpKpNPsCKjr2+bnbYimwdhFOXyad7+GMfjznRt3jTr2VboM60fTeYGihW/Jqb0W9G3
kmHVTs3yVBgN6Mveudby2v6+cLATA1xPvQwBJ/u5398yQeB63tA9fNJWrFLnO7RWP0lOo6ZnIY3r
dlkzcC0vwrK/+yVZFPGNwXVjDn01axNTqmSY5eobmLVlDuXmB8NtJIyUIfr2pY5KWcuaFOL5pBbl
CpbI8Fg9mdW1lY+DKJ9U4bilvweOXH0sRMema935MVb+Kx3OkVme16msPHPrDkk+32fKb3g7KY5H
mhGXRWV4kxEqSxskQQdVnOdDLINp34+OwwB9+0O/ejCkHCJgxBeKAgew+9F8a4VAX7Uwq28kf9HI
WUmE6NmPgUq8+1DXpcfsEQFFe3fwHUm8uFmQNXgDmHFZTRGXHF04MixTNyC0vjJVWQLcKQmjQDD8
oElAmVsYlIC1sO7n/iPBkbGmJCYlJOh1aaA/v0vLeWTSSAI9d1/jysLMaleemM7ccnLQe75zl4Lj
aYIP6LssSWyzApaL42eLi7WRZS/rr0mQCqawLJi6+Vp5epndfk7IoWoUcnc7SnmbVOU47G4rb1pW
lRCIy/SNAYj9xnuZBNPIyYkgHiyg5z9edpRO1LBdwrIWew8qDkMm06H0c0bqQDgwT6eSnce5orKt
gSeSkE3EntNQNIGnjQDwHNxA0O7053lazkSrlnhZ7oXIMpslzZxTj+lWOK3L+90mYOmo6TpZ+d0b
CWKyVnYXsb/g9Q/dhyqtGJpyrjM+o9VkYdWvrKq3HnJVN1m17T2ySO9nes3D3SChr92qjP8yrpIq
W9aTBCEAz0yQRs+lS7RXLBAZxkBedApsS1e6XsxjMcGalVe5BChngp8kzzjiR1KUPqV34qI96m46
mt2sfngpMvaUStIIm7YZgvDhzkjHZQ9CQXW5GglLjXdphzkgYTIN3WEfOUObXhQOqtiTEaBYdZZg
DOsPve41Ywky0jLzpUPKrgYSVrKsPC9TfhtEgrcN7sWyv6udqslzMvuevwA+/ISvWvmgG7ONiaWa
G+qaFcNP6XiZxAowGUa5hbnq8beUPmOZrVWT40b6+We0TYuy0U6JqobuKoJ61MghZpd70NvpxKU1
C1N2mOya7xS/3FWHsF3unItMgx8Yx47lsCpkz9JqJeFyRRsoWfZjaiKP29JMfsvXY6JfhktNPmD2
w4bjzqDJIi8rb6sOWZW/yxaWprdq3EzwTg1VGDJqYgGwYwKlBpHjBxpNuEE7mM5IlA4G9KLpWwvB
lntY6wFJAQBuXLzRh6BAVZhtZr/HEnAaUUJFEBfP1XIYzYDC8muTx/GXL5GFGFYuWhtoeLytDbk8
d18MzAJbOds0N7a1AJ4TwENpHf6NslrLXgDMicOfUk9gW7pNn5G0xAIZdz5rlxT1soeY+Pb8R7KD
l8/ihJhFPSwyPq/gFBCrVQPf8Dw2lLRc+HhZmQbLQRR7eZ5eKmTC7kPaO4vWPyTIko+VOeFyj9uB
LdCPHmIit5Ng5mXMFZxpnX3WadyCu9j0liG61AqGuyao+P/WgtDSYZjrmBs4Cy9bNiRmvOeQhOdl
8lhwz49Za8vllXboXtQbSQgMT8JVHIQrAIWWzU6Kkil3Ian9Rk37QZuImi4GlDr8ga1UENbXFMr7
ZVTbaSq7Dbkps+XudVC4oHgz8y5M4GIOG9Qv/n+zdx7LdSNpm76Xf48OeLOYzcGx9BSNKG0QJCXC
AwkgkTBXP09Sqp4Sq0eKf98RFVXB4uEBkEjzmdfonSmrMtTzfZMKcBmlSGbJcklx42RuAydJlSnW
G29ZZh2GDbTh3F1UU4dtCBSm1r/yPU+V+B9Sg+xMEqDCya9bcDkJ7CWa5Hq3QvjQtJD4RF/LOGGh
rVn8mKyB8IznahiM6bykVMc9JsbAu+ncECT9czNYOoRtkmJJ27uIuqLbXLUDEJmQojf4vGrHRsx2
s5M4tC9dnIqxjSJAMT72mhtwwzJDpwkLjRRoT8k267+uuCAQ17LZLjxzRKufwHrTZ3OWpRdlm41W
gP8bjSImT17oLSWQ00IAVi6JnpcmTqLMocTJO+LQdm1XftfZEFsRIPcctkridUZpW5e8jwaEmGGN
3RWMNxQL90XTjbylxgLYm+3aBZNMP446U++CI4PPzDVzkUi1N6WY+CQ1mY7fyZ6W+DkYI6X7N7LQ
qVDmjim7lHBnvKbOZWawOyhGkbVg2XJgQqmud5b2xNvvFu88hJnqHsMKZhYB9GyMXNq1EBiizUU1
nbN+EQGnfJ14YL+QUqj0IUvrvGM6zj76gfghYCfB/rCEaPZdz+bSY+/LFuW5R9FJ3I8h6/Ytvr+1
rUMsk8rr8lqHaL1d/iyssOvrwZnazmmjAySyEAhpCuvVMU5jgaIMSAGEkbZdAjNk55rwF++Sbubh
kSWq2O01pYI7Ri/UYJQwgQ5Y2AWySUyeMMcRsNz8nNZ1PunfwSoGMxev0Bi5c7819HY/GCGHlmUw
K52dE/Qo2G6IRFOT9WmkOSvXDRMvsNCGsgJxZedsu9shKhG/2wSrtfgwEqeqvzMx4r6PyJFQbu17
hIbO/AaGNKYmahSvGAp2xnmf1oarBZgCJ8YOIO++0kdCWawMmrb6hoTq2n+q6VP1zxMiutP1iuAs
VXujgs4kHG8SaBuiueaJuCP3Hcb9NHmhuuo77BbbjV+jDnfhVByrO+iiyoo73lHPJg/ibi04hVWP
RHc6l0qH9Gs/oRzkBktlg7/ojUV+iWxrdO98hKncNC6QuJ5R9K/sBdtsEfH8CfM0SeVJZpxkZG5r
Na3rFpjzavb7xMaS9pwWQoJ2rCwvJzhiYq/QkqM/S4C23qcFXQUOPl8GZwP9hHDjuNK24gVkMxbZ
VC2GaIvRAsJwmovUI8lRpSjVOhKPNHNaoeA1pnmwJitD1kzMFqA0HEHWPM4SxzNuBI1w92EcOrAy
SA7jc9ztotac53vt5iIvjUE2xifXcMHSyoZZDRbO9/uHFf5q09JK9QNcXUIcmlYYmioQ/hZTxwob
lFyCNl1RPq3bTVS2Wrkz6NehC1+suggbpGlFq2ZtS7t0NIA9B9uYMRBtgBv04GE/J5Om88LtWJpe
5R+SGg7SVWQhvF4ekKIkrM2+o43qyMiKwQ+Odru1PLms/s53UGpPr3qbhylufkbf5oI2lvVpSusW
JPHUYtOgdaKcWngP0+IJ4W5FMvUJmFMTW8nyuKgAmj+Q+okF0+NazPxHKI8G1qF3ZqWPlYiNhMXd
hTp8RBJLsRwy19c7XI1rGVtJDpbQSvbFgs1NpR9MTOH52sE/lrGXdYqjhyZqwSkjGy+1ASmjLizR
p/VaHf3hhKMzh6CwVu52cVVNk31EDtV/gj0HcPcAmjFATTk1JMVTMXaU1/beMBDZh8hiCvvg2h5R
8GQSu+HlgQY+e1kR4m810TRFxpIzvB48c6esxl8dEFp2RUiEFrDDnoJIoC4pEJdgyxF7Xt3rDbGu
bM7oCVAHoQkccckAIa6lT86wmyhsxD0eI1wbYnnQrneKYhS/a5MIcTFN401YS4PX6lIMDoF6nwQp
DfIptgsr4o6oJQwY+AJm1vFqlEATfrTl2Psv09Q17d63i6C5wMFLcSyCxNKxVCMCHbJkkdRjJNvG
l9bbaAxLGW2nylKgrTkPKYTS/02QX4WU3HsMP3v4okOk9/q1j00pp9TPE8y1WsaxbE1dgvXRNObu
LScxGEiRukXUHpa8JumoRoOBZZsp9B1A5UQb8PjXSKwdS2gzCkdXw4Im4xtbup+1uy0tCAhgwI1K
T8UcSWFylnpOvCcY6BTTf7xGDkzLeiT9G+U93OuZJ3aKxuIdjQONQZrhyCFM2c06FWYSfVFl4BXl
MRN+WoOfJRxV9ys0V54KJLyupvc9nM/sJEykny0OSqAXCMHai07kQ79jstQ0IKw5ziezD+QWdzKi
lNROdAFHtQLPnaMp0kGFN6vM7Da/8AEocz/L6up14Di9yaMqeODqvhoQpEg2sPt0Bb8pOj4AplcH
alZFapx34A6oWSUjKnOHzg4q4uz0x+maKZVyaI6AjllQDpoL6h4HGx1vSgD5SJCjxU5kbTICxVuy
gsdfYv6//vSPct9UhQHHpZVxX3acZYEODelK6oqv5Qh9tz+WRylp599X4wTL5NAPbHz1hTNj//hV
AVsEwwyhvwxY1egRMk3zhZig2Lu9q+du1dhRc1lPVqrkNq2GELsavqB2CGqnduHdjoaquVaz9jyC
KeAYUqygTl5sI9XqInQQ5f2z6sfcqakujkKyuYACdS7cyZIlBDbPZp7Vpq2TwEJ4ZGymNesXMrgR
4SWJJ+9ZLt66nDuTTf4EnmuZ1WG2sYV5Vpk1MyjJj8hnSE1FrDG0Yc/T5gD+CQx+ZsTQ3yICgzlN
TbKvJu0cfkrJWbCFMAxjfnXU2K1wfpSJT1omMtIRlfXpYBxDXzjjvb9WzmjExmRRbjWySCfdgR/q
KKyfLZ3ko2yhA/lUtMyPZEhS3prEHZxwHf1KHIDyXnk0y4MI+dJHRl3vuEC9SRlPXSAaFEfJH5hO
PtZmfFGfrHqrFOzJ/hFRTOr2uyaYmfpH0HCAJJYyJI76sfQaVenQqjLqCDXypWurodtKpXRVsGwm
XT/C4+TdDAa+7dRcm+6MRTMDsuqM24sMyUBOVqCXONlyKi598CcEr8tUpIgYNfN468/BOpzCcbaq
Ywg6CKO9MTAQ7SEJlIqtE5HDlq+JXNmzVxVdoyNRdEPYxePpR9aIikzJKu0KhbnPJQH/SHmYyhVy
KqDkdRb4I7GoklXfdLvOKJrGrLKFBrwMVzJeV4W6yk2SBEQpnrKm4ZXmFOS5dfyDOAl3CBIkUu6M
uXHLy0BQHOGD68KMQrtEb1iS12ignlEOaJyjkkfjhFZn5jTls9POOkNffuwcEbY4jGFtlX+u8/6H
mhEYRDQGtH8llK0PBdZwprEANH96mROp80yVGRi3gcZduiraDGPP8/6hBvmxpkuZKiQ9dXU5zw4J
nH6tsy6iaUJTgkby/Em3o39MjQoWJUfX72ti/7yUBl8C/dYdcA1N/PVSdpaKVVGdeMndRO9PKBA7
UIJnNmv2rt9f670a+Pf6MRJjNMMc2OLggf/ZZh9MC2s38G4vs1MjFYOadm0zEz2aFSxDLGQszsLV
b9k0xsb1wLKNqurCKtYSC/4VVQjdqo1IefXe82Nn/tnM1aoeOkQKvIEzAfDUxE+/v/1/DBUNHvCN
ERxH0nH7Y49p7pNaplOA5BQC5NwHB5ROCzlcSaF+f6mPcw4rM9fkQhrHadJ4/zDnGr9rJho02Zey
pVpwhiixrB9sIM/9hT3IP8hRfnwuQKmgN0msfNxnQ/cjd9PHrDzPxDB8VR0GY49eEeiNsiiE3oh+
/1zamvvvHQS+HRow8mt+8E4VNT88WDrh31M1yn5oBonPQEK2L9N9StWBwDDHe4vdhIZ3zX8C8htO
u9lzokdiG68PN4IqCBkLEYLu3wuku9i2rdXV51qecqAjzkEFIsNhU2eBs6Gj5lD6LXuZCn1dVQGN
xae1AC0PZ5Qery6F88vXWarWTVjOz3LuTgYWHguqnK2Zuj+sgn4hYPydcPFhvBmDiIjHZNG5AUab
H8fAw/Ioqn0cA2AY6omctFT2wFxNaJo//n68tQ35r+NNV9ILfAAXfkgZ7CO1Y2oFJQjLTe5DF81k
rjUiCXtV4krPo470b4nvf/TeK0A6jEIzY3Ej9j9/6tWoA2pjMhlczw10+k/oJNjYbSyXCMCNErbb
ejHQf/Mp+Iq6nA6LMxJf7NBkIZrMVzqVav+zTk5xVddcjaqwiT/W0Fz5nWpr/cJXr+AqxnszKfgR
ySsYUuQxhpfpN1lYLPJpEyi6ue1W9kinEkj8qDjTZmPuotOuY80kISmATmihIdX+oYke/vr6YMq4
NL5MG8ASWp5ayvbXHbPjCUDBiuS1Uk7wVPSNZ2P/YXtHvwyFS0ksk/vUnaPzJcwhNwgkqI41WlyP
Ks0Bjjbh2ByiIXU2EZBENNPQ1XlICPeGm2oesA7JQgXOMipuayrTr0q4g9j4PfJyMaVP/1p5CaJj
Zj5c0mbOYMTUmSq3xlA4n1faLuoMhkzhbQQwS3dLkl0+ohQqOUsroIkxDls3Lq3mcu/Ch74Mll5t
pVi6HS2k6hFlffesqmyKaoWQZL8txNQiltgD0WT0zhekq/INnHwTmr7og3ubs/FZZK3lbRDry4j4
02E42EXT3EP3Gx9zB1eVTWgaSNEbpLlfsDwevkGI7e98dxjAOqAmWsxjsaeqtgjAqfRiYtCIubEZ
3VqdVZjmyAmtXIztiuLzGPp4lobJWG4l9gr3awH0lN3ayEiODTc2ffMWUw3zxV7k8BUZLPchGz0E
0WYfC6UASzQ3X/I/CKH8ulkzIejCcCZg3k0LjO7/hwnRki0FQNibb7yv+SayUYHc+VUrcV6Bb/3w
+xX964L+cbEAoJzu3QPMcD6EBsnqgtfoo+abbwY1GKHZhNVJOWJT1+Wlcp2RcClt61sq6uAmf3/t
f8z898cEq0OFk038Y5dx9PCpAiVff+sa7V3nVAJeLETvP2qUvH/T/wsU3p8SZht9Ou3w60QfY64Z
Ty1b0Vr+hmwNa8axOS6QJqytHJB7FXxqkNH5lA+JAZC98iKxdZTIK+S5PH87Y5paaAUC/7pHZvms
MbrggfMWnXrScPlY14SZGC/WYmNLy701VdHgR+CEFw3VjFtlL/bnqCCs21itZYo4LdNrp8Z4fGME
tU+yU1K6tqaIPLSPlm9Fm0oqb2O/t1LPfDZn6WBbGzl/ADh8AOExJDoMANvAuDic0R9DAssIhtkF
VP8NmyMGP8ud7OAgMHKc1/m5saLqC/6A83ZErwByf2/4RzC+sB5+PwU8PZl/eTOBBmvq9imKAhzj
Hxq+iHLWVNuy4BvSHIjjV01fYnsFjwcppWqVW4Uj4jGo5Tyi9yhqiqNtfUT7P7pUwlcYnwWpcb1a
qXvE74w8swc+XOeUn+K+NC7zpQkuFmc5YF3p3FMyqK5bg5e28akjL/EqZ6qUBZa1cSCi4BNYEIWd
jZu/LX6RQ3AT+aGksHLM01Zc156EXNcmmjtcZSNyxXZ5azSQFzb+bE17x5Zgq50+T++nKsqKOOtQ
0Ef23sKPXqZUzIKiK6gbcibeudjNX+TZ4n62KAIlG2p0eAX8fnD12H0cW6RBiI59IGrBR42WkQoK
7z1IvnW5610ZnVM84oO4gNRGlPzKmjRi/PdXtH4FvjKrAqAcoG5p3ztA8D6qEFmmXeGyIIrv+Cq5
Z2SZkJGScTHOyeuLPXU7yU7vpf034ZjVY57O8gJhe/PWUJGz//29+P+cWoSabJ92aAcgcT+CAfup
9oYwbZrv6Uw9jl5Um3xt+xXjpQ4rb8wY7JKEoG4hlEuP1HpbZD7OYsBht6QVUYTMqgEbum9hAOSy
UrpSQsWpMYbssvTz4dg5znzlj1l6SnHuczeIc9rTBi0KFOhTVCNHbJ5whgdrjuWJwbDsi1Ial/Ce
sLUh8jfwXc4WVConjrPCywWKtJzecYvMxEVNV4SI0qkhMlRd1dCBnQpaHvQIHj1sNnbEIsOdtOfm
lNWV02/6gO4yM5HqauyTJN84UY5lVAAAZaYBQBlWouuZxgOtwstJYLi2aXPhg6sN7dY60cud+oPp
p/Zn2bf5E5wb+ebmNpKNg8IM7E8z5Z9vB40jMCYgPeAI/yMNdmwaB+U8ld8ROTcRVZyi4oWm6EKR
nVcGUCr4tg5jAt3GeFmgmzegRxWWTb+fJP9pwoYagszRh1IdgL9foy+ABUM9rEH1PYEBNm7fXwi6
Hll1kVe+3Jsr7q5d34z7BUWGnYA//AWRJvRos2G17v9wM/9hwYYubDfASTbQpI+I3bUeJ9XCJ/6e
BqZ/1/nW8AnHO2MbUAc551wcr5A1kmfCbepTNTvWpWzQY8d1Xs43eZCFAJKRg7jIjdF5AznfeZsQ
7du7P9zlP0KGAGKeAzXPBjNNUvlhyFCZW+qoc8fvFIm69IHIwsM2x3aXzTiY6spGZIAS7LD64Tbs
vfYtW82g3KwJ9iAHB+GTRy+q0gszmMoHu3dHCoqcAvu+6CuGOy2C2O3ojvx40f/lWdwv4vv/+Z/n
b3XeYC5PkvIq/64VgMQI8eVveBZozLTNr0SL9z/5i2hhYo6K9JlDlkKw8E7+/KnBbiE8QOgGjA62
K4rrWp79L7ZtgKIAf0V7FgTlr94FMC1sjE74Oo0xw83jg7bA77QGCFJ/OeM8RAl1rQGtKEop3N7H
GLLuggGNahRkrRzTSqSJw4mWCV1Sz29NvKlVaOPV1gU0lA6lXVe1+VkSiVpkk6Ie7u3alSjc6kqW
vauYg2IqoCjhtRne5bRvofDFY9FQZ4zFNLvN3nUmlLWgsy3Hwpgmqonka3atTv0IGlOh/izHBlZ9
Uy0FMj4qJyWLQtEgaVDMZxwoyjwVuY9kuJsk9yCwUGAx/CdDk/UnbDjT2JyjbeQV4qLQ7aKabMba
eF5p32d+DmkJb8BJu6xPWqEEi4bdRLFhgky1Qo71K1Rr1lJ5z6aw2bPJf9RlbmYUvO1MRyck4GgO
Rci+Vwf8fqoDrb8q3HpRm5/8Ou2Cq4iKOaCkxYR4aBgt36nVEOS7MIKh2wWZVksQZIX74l1CIXiX
U0BJHWmFWqss2F7SfAEnQXvyXYSBzEVus2HgIEuFlmkA1bHSGEC7ofA6VBy0nkOytnQk+rTDO4wK
6Uxpofd4UPddCYLeCI5znlUdBttHjMsqsSpKBeoRdNYuJiCWYktkMu3Qo0ITLi8n7+QDf3iMCnSk
icui4QBavJP7bOjNaqOY6lsDvL552/nlzoZqVh8cWSWc+d4MWKKQ2KENRYEuvqpVQCvJ7dutObpk
wr6qj12L2yPMmzHc29M0YS1RtHGd2grkmi1NBjrFpjTW9cm3IMnN59WzIKt5rMa9JrFiQekuiMtg
GbOP+to7jO0s7qwGqQtayNUTKDjt3Uq9IhagmI6Vwktja/fBNWoQPVE5h1EP6Ae1WGDiTBprRneX
GLPbL0gx4+jdR9ez1wnYo732eXdTrBuTOdi0Tl3S4Hc8dKWzEdJpYWBcnxT2SdZBvQUSnXxlNfRU
FmhfvgDztKBND1KVeAd29n1S5eNp6utgb1ekVFiDJcNd6KpXEzDNVi3gv3H2XOoNKyA/EWs4SDWm
YMLi1A+ti9qnJFBmXvhFk7cPgOv8ZONxllpomdvpZoCH6GyHpLv3wJxcdVR0XipZJ9uxS5fHkYLQ
MVkhQKJsZEbFRhgruBhhDNfICTVXnVcUUKDbosg3YMYSBCNK3TFL2gc/7SRAiqg5NVGefsa4ASk3
DE+qT6WLsDRAGHFQsqbXGjIPg8SFJumW5i197TFeQA9Ee4RQie9CjACScySpC1A6Ulz3dRLtB9+s
vuNQvpzglbfxnHXFRs1LtGkS+VoAT9o6y4R+RZiDCquILVvXfqbJ8dmreg/n1pRUK1J20Jfbjvg4
1VoeXSZG/2bCfz3lsqXnj/hDvO/1/z0V/3gqemQuvzsVSwBlz8OvJ6n+m79EKKJ/IYTgU1CPXAD7
HHH/829rEvdfJBsIldqwYuCTRZQ9/joW/X8BlKDtg5AlWTdKn/8mIDoObj+IEKJfTf2c4+x/dS5C
evr1XKTMzz+UEwMLRyzulJv4OydL25wxrUesP6sQoy/PACTUSHVYk2w+w1PRO0KLpuvcTtPyzWsH
FKxKt+NIsazpE0avJsGcMJ6roDIvS+DPtLsTR8tQ5Skngt9s08ENrrJKDZ+WQuX3oC6qQ0kv/lRD
X/jaiiSEbRgUZ0AEd3IZuhfYIMURcmGPhHkB+oBWl1hfTVHibYZTHayaubTvQFGUZ1FTNeiEOagB
OcOGNmNz2Xo2uMsqqbdGUSMlpobp1OQ1kl614Ttb20iDs7obBV6y1XzdCpSERBVGF8uAtwA929m+
pQ8fXYGXNC+tJTcvKQugtKVap9uTn1QH4BHpkxXl0ZVllDfW7I+XiW3dr+ZCTwC3kU3TuZGBVIJw
3kiis82EXlscWoDx456Gyk0EiglmeQCIzPVmXOXYKQ9eZYpvE2f03umdctPlCKYhzVg+dG7hdxs0
1YqDwG/6GA0S5R53qrF0XixqpPb4uQ3z5FqO2XQr23x9BZaxPDX96NymJch/Zyn6K98p5lsQ9XlM
gyDfd4k3npuz373UzjhvwdAGe6EqdQgwGwDyO88bPDCro2owpO5Kd/xmRM4m7z0gvRGevk2KShlJ
7pgDOyvNFiV4L7msS6G91IxTVaIjl3Yt0gjAuw9dp7y3NCqwHixkfi59dzr4ZpSccBWsbyDBrZxu
RlGewZpKjB1agOO5AGv5mC559CXo/HpHLCTOEuFPdwLzp/socfPLlbLr5TSYwDbRE8g/J9IdLorR
rO7c1hWYCofg1SYAYUe00QIomYhs3q5LkF+mKZJKgI4q9DhFSF0vxx6TKAhp4Hxw1AXKr+ZN1DNX
qLL5SVysbvU6zrO4Sny/Oi7z6Jz7sMuQbfNz3IaD/KnD0RVUivBua2CCxxlblisAA865PXntscfR
5lriVXJfrE4Uz/VQnWpjPIkmmTBrbbzwyu6E/QU/X/+yQ1bulNPuOBZFhfFyjYU11abMu67EdG5n
WOyptuuPhil3VBXkM/w+c9ksc4n7oEiC586ZvnsdvnbpItSmBmt5asHB7qnTh9sFY4dHxy1fl8kR
aWykrv0lCJv7VjngUAex4IXcmLctLgEgUbPEOPMM2p8Eg7hfZ4qadDxhLfI8JH1xE6RlBzQQga/X
PEHtuFH8Ubrm1QNOA7jAOKDUEUCuz7GMqAlBHcLHsfK3QOrqu8AZ5Avptuo3srTuQS+dOMH8s3bq
DnSiwbP42rE+r4ryFvJV9clLqqO/TBK117U5uWXdbgdsZTYjm+UXvM3zU+DV2IfmTrcl4Z03STMX
n8QAwXqduxY3V8pqa6altbDvfQKaOD8EVF9vhV23MS+Uwgga3PaWlFqgjzjvUcruzrseTEEcRXtP
FvUhGSbzkjY6MsHVrcJV7AmXkxZEn4PhgZk6xwYA9xBXEzkuOuz9qyMX7gRo9GTOwaG1pnmnKms0
CL6c8Eli9C022EpXSP8GSwteZkmv16EtD9hGYdOzLF4Q92r2IzRZJqxN8U4fm5WyzNqOY7iNIvWQ
rgsaQlVJRboiNmaboyq6iURvnhP9ikvURc0d1kFPBT7uIUalREN5FaHj4IO+jqATxRW2GohsmKhW
D+aOuBKjj6JsXyo/A07ZZtGtV4f+aRi8ud6sYDZuc2mU2yBokLQXw7NfBPMBLePwxhz8GvJu7ZhX
qBybMf7RKyjAsPJ3oIOix4hT42p1s+wzQjL5Rb2qr/Dl/CMn4hrjKaquhtTF2po61sVQYCOO0ml0
UY9ufyOLpLsswCY+GkleXZEbCDQ5McSwojbdrnYmdnTvnc+0j+yjj5vJrk/CFhm2wv6+Bul4OVG0
f3adTh8u4+o+URLLH0CWqmqDqAgsoCJK8THNSvCrKUZyVpLdoLbKJk4yjGttN9+ZI0PfZN66XRYp
dsNsh+chQkUFHYA2u4bHPDHRCMgjAwQgbxY13yV1xkODpprGVYuHakwOObSYHRDY9aZEsm4nFIh5
HJTMtQA41bgbL0X7s2vVlaVS+wwz0/Lr1NnldoIUBRKd4zZniZ8PlEuOQC1A9ZZdH30pfT/f1s1k
PmHclRzZmeDJSXu72L53s46F8SpgV50JGRp7uAfDNfz56uS5RrJHSGe4rZYpfICNnOwtszPvMC81
uVyQGPGyGP7eIWG46pfupRnW5dVcR7Z/WhYrqP3ZTQ+zM1nblYrvxh6Mc68xbUrvTZ9jSAugDWyv
ZgGZOTtabt7q7IGzvyjS+9EjENkUY1ctceNE8rZLu+rY4ieEq5UISspCQ09pL0jC7i3qRXlSVYZj
9TwZF7ld7xbs/m6Uasqj9MYvXu+hYtQOHS1AdIFeSul/gSfzbCbjGyDgL2E7f2qsldxgRfq0cbr6
1DfBsgOLfW93qTgTWRDcK1HajyUFxVcUqObPAK6+hKrxDaZ6DtutPBNglcwRl5+hU/JARt2t/iWh
VpP6m9UGv7vLIZS4Ow0DuJhtL9iO0zyGN53sFhhafvI25osTkrNNvDhUTWxA9Wh1xUlrHkYMl1AF
zUSLo0xntF8EGyixl2ZgzEmJX/qS1mdIfPZb3YneEuSV51a6NGeoBQdfvMXrvlLST4ubhM7VeZB5
Vn+PXVKWHCpsaigQzMO0gglOpVd8w/xwMB48gJYeYlEKO53WyMsW5FnubBvDXA6A5pq98ofPiOBM
gNrSamuS+6PI436eDXs6+rkI0NqX4xWf1IK7AeEk/lp5716M+HIg32S0+HSnnDJGgCAZschDs2bV
LqPue8YJYtxleAddoHBkxXDylity2e6q522erZJsLcunZ7dEWLyPfAMIoDEerGZeNgC8CLec1R43
KF7353l+ok4IhA6D5jaRsBfgQqKQAewWWTfoPe5tvaKCi5NQelpdUOpjkiRnfW3nZ9JML3yrwtMl
sMQF8ktyu6RB93V08CUB770cEEvO99BxELFOTZLrvGp3U+IKaucZhBYJiDeGgxceR0ordL/t+uCZ
ifnmjjBSYgGPdcYwLnSsb3hU+uHnwRwpzr6OLtbj3kPSubqvBwc6R6H1v0lcI3O5/CGJQ7KD0vP/
P4mDQNF8f5X56/hLRfTHn/3M45CE0QVKaJz0AKhLWuRRP8ubgfOvgMVr/tsuktLj37RUQdPZVH3+
Stb+EpJxzX+RwvnoT3jkXmSG1v+mvul+kAHgIugdRDRqkcGDafoPTwHPximPjUYd2ya1IE7mrCtQ
rWDc5NPily8h7Wa0M1dMjOEuxogXDZt5Xsqz0CpFbMrwPlRheQaBpLycx+pChTjUBYZPWNojAWwa
bL4FxZlldCmHEH9Q4azNLbulA422i/YiMki8/BGdg8i+FbDhttQTQdG7YbmzumDepBbXZNGouAA6
EJucL1u41U+qijgA8nbTiRYtDK948Q1hbiu0zjelxX5IubM/CdU/4Y0mECdQuLPD+93VSfAIROhT
4VgvqufyYGOfqjZ/Ywkhc9YGWCn69i1G1kifNzyPL2a5M/vuyYfxCz8KkbnJ4PGalNb8XDfmVhnB
qe/DU9oAEE0GhkZFyS6VNTChonyDYj9vfJ+hBEY8bM2OL60UQ4AO9AOPwDCY4anOsWFPej6lTO4B
KA2xXgJWYgQ4fiwQSd+3FRuo3/n8tnRvp3CUO/2XaCiHmzwakTKzdSC9MASicuTOk9Z6m7bVbbRU
alcNXLICeHjuuR23PznYbHfckCP8cktz5KEcImJOaJRbduO3pelaupC9HXvJQghRLlTQaK68JpVh
MQ7RPWgxuXOaCpYTvFpqt/DcXBmGWp2dtBWXjvskTErUEMmGhFGte4EI+nEKGT1n4KKTF5xCy7h/
nyR5h7PA4nbDFkayubUW57ZWIQQJM7qfyIRj7OdUXJvercq5qbQo3ROZAo7CgNO3bVrPZ0EkbQp2
ehZJPkub4CofLKpe7WDvAkXX3E/8mWFiYlFRh9jteVfM5zeA3UQfdBY21ZS/oCjAu1/5qcBhkLgJ
zfxJhjDFwfTHdc0oDRZJkR2I9RJjjigGt/z0/r7rNKSXSlgcy4nnhW8WaRQ3r74jsBjRID4zrfSN
Rc6sZi8HKcTsDAOmSqvXAnXE5aHK+BHY/otjcSOsPIIpAU10ZLgoRN8vK29+wlxuEwRTcoYJ+3qZ
kZJAaB+eAjSEIJ7yhsORyRSyGt8HoxEsisngo6KsX2q0LHeJGXRnkN49bCeZtFU5JGcLyeSneigE
eshTsZkQAo0deCN7mHb2rofhsa17lyE1FfeQZsN5OBjzgRIL3LAuyeNOrvauDFiUpIoX+VQ0nLUt
swxFNcBSTXkZ2ixUx2QjCBUnOTFJtUOq/A1lxvxWZR4esXqCwNE7mtZo72aXJsJI2X7TjlQDaH0P
Wxe4/Fmamc1hJobRjByWYUk//P3d0g7X4PTmwleJ3kKYAo3ootiZGJv3Wb4G5bqHoBEdSBtKPOWq
aE91v9rChhPx+wTQM5wlfpu7a3NwFraxSLG+3TVaj++vWY7IosueaURtSe5UYSXPCE4YRy/jUcGC
EyaOlnFMIofdy8tfCNx4BVb5Rv4Log5FuB1GHnlcOzKK7cZKzsx+bC6C3JyvvNk7hFPxAkdwAcsz
NRdJaZc7AiRamqtpHFOPddpS+b9YgizaBz6TrKmd5sIYIq4OM5S9t6YQyeaA9+cmn90DYOSBiGrm
y6xJxe7g+HEgTWcLUWXYdPbQnyYf1GTQ4LE0Y9eJMKjn7AzUxPCXxbU0mXh17yyqZLRvM4Ah0A2a
5SAkmwmkExUjLIqgiuIWIPizimCpHfHE5l9BhVOg3pvsaLZ374tW5b6ilmDc893ZjdczJXrPvbVx
Dj0gZxVuPPJzjp2JydTNgkJ4zvtrUbMG/dJczL47X41B+UaaxdAsrID3scamudyWNV85WrxXt6EL
485y2BpI4WwQyoBdVBnJjU04vwXAjctA0r11Af+7Hgt46rQv0pz9xDWqfG/1/SugQA9sBr2Qtgse
69Ztd6WR3RjTeBVo7Nz/Ze/MluLG0i76Kv0CcmgebiXlSJIJCcbAjQLboHnW0fT0/xK2uzGutrv+
67qp6oguyAHp6Jz97b22BuF0P8UjTEMpazMFwuQkr/BAQ0UsRgm435zNj6mR5b1rUiBtrhxbaSWX
GGryWU3K0edg50AoldVbI0wzH1RLlVxOYSv2ZIv4E2pyEAZuENJ/t0pkBgBRGXdXdAmAgYJgkCHF
EcZhuDalnbxiONC0K47LleKZdS3tq0A8SV1ZfoW1+0Wnz1G4oTamL3atSYDeCJPMLX7Lcdh2RVOu
nTwlvAqZo9a8Kmm45xO9l/yQR5GvKnZwSfRsltZUDw3tMVUxBzD40Nt8S6iwk+7JdPdeBDo3OwSR
oxE8oenB9OopreOj0cPMWIUQFqVzIdg+EKy9fbMVu/rmQnprWv7ZRPC6r1n84dSqYGVAxln06zfM
sMyR1FkvG7G14olTyBy9gIKwWYLsW2LccAComff0+I+ZgZ8tFt9fV0ep4TgNuEN+Z650Jl0l4leJ
rTK8Lnbcg1qcfi0GHAcg3V5+/yl/tnJ+fzXsEswCKAzE4Pbzp6SxRKINthDbbOICWXYCTooQGiK8
+f8cAv6XQ4AKlJpv9b+fAk5RXL4d43z/gR9zHPnD0pq0bKyx3XKMZMTzff9vL+6GZXxicZViG11G
PD/2/wrwSSw6Dk93YDX82H/mOPYHQEYy6Qd60fhx+N9/w9/wDh6EAx7D6lLRTsqFswlpip8voGCQ
IOMWhrGD7FAFMFvm9BwtLaXw+HjqT0b7yeExvK6WwTIKZEDnZlc9OIjnH43Crh6AYrSfZK1oP4Uj
Foc33+T/cBPz7lTUuwUDx/HJXA5Pb29i0EmgCFDQdgkhyCcj0serWo6KQ2EsrO06zqaNU3EuaKEk
6t9Ovf819YBJi9/+H3sjN9cC+8N/whjOWk5i73xIgPqzyiRpuWPZvYcHoXmIQrFzmTpY9nyzMqwD
9BEkUG0yrYtRd+KPStLEj+NczF8tgbrjV/MEFzCje4IcZbbpgKakyEWleY2bqpq8UViwnYe8OyiV
BvFWrnR3bkTgJmNOUFvv2/wUqROuXkshbS/bdQ1uF/CmL8ScT+zvIqmGoMOOtk9M9YGtZ+oCqYBN
09rlhdXqM0nrTJxpuS3W5aQXtKd3mk03fe3Azqb+KPG0WJc/SU0jrezUuhXj3GSePkOcYKxVFcdG
H8OVFElD77Jw9lvyv4GXMhfnMNWJiYKpoa9Rl80Ir0AR4dQamSIlS48L+xDlYAxJ4JvN1H0il8Zm
NpaRuF0ZtjhGacM2t9BQpvUQkVqHTkx4gyE4WxQQFmfwJ8m1TJhO8RPwyw9ZKZvUQsEb9FGesKYI
3LDrXhvtCbCcZZ6pygo5vxDsy1wefd2tIkryjZ01iB3H6iz0C7XozmMs7MhTtKGlxMpU5DVBPNZP
Zumphm3BrBSJQrZZuyjGRh6QveNlQB45wk2aWefPmkj61uhVVWIrYTbuYBj3VjLZq4hi6au0YADQ
hrXaMMAn8aA3HTvgUB7JDydJs266wbiCiSBtZuStrzUh5zXFPmuMMb3PnersELby86xOHFg7Nrz7
ObET3zY66ymyumo75/K8crKqo8W0Ked1p3YhSdGEs7xX92xzvJ6aqo3dJQqpdXvcs9MI7rREFVt7
iAaQ7pYRPesMGk5YxkfDjQsrf2aqnJacediX1gZwVBftuGaM0EMaYcfSkH/h3ruJQinRjiKNSeZw
OKLz4kZp8hhQfA1jAhFSC2rQDmNQAACvOh59CXthm11yslHlcviapn2uEHiOclyqtEX18mVbO038
1McZoyun6HX11LZNsJ/FvJRhakl/b45xyLCVYO8Tpt9OsMsTY8NdUUvdlyIQSeY3JOsjhjFk01cd
ABtpVQb2dNlP7E45nVqdshK9NMc3pAenCWBBvRTxYfUgRFg0eUgxF+HCR90ZmsxNaUYpXAdDOoyI
IQWrX4cRj4KuODQgrCoOP1r5hNVV2ynNlHGpj3K5myg/PqOzLIthxOcH91KckllYR1VQX+dJqsOr
cVLkkBUFxg3asDKsaqMNWjfq9fZTF5uJ7jZxz7sfQ/pF6nKctxRJVQ803ZcPQ686+L0MDrh+NHAj
r5ABQWgIeRSf5aQR8iUdUoZ8dIKBsrYKaMRT02aO4b+evV+XcodPHnmEz9UVGErW0RS4yXGM1fku
azUpLr10AAXZbsaALqzZ50mgTE+GEI1c7W10ff6Fn8TRuY4mjPEcbJV56O+LcMxijrSSUTyJqcu5
dBrqDXFEm8eaw3KPqtqX0hqMERUEtF7jHbLV7DQVUY84UsYIHS3g9GsRh+pJpyC+gT5sZ6fGyGos
cSHWKd+e+h7/ltWp4DNAjh5yqWFCO/AOuHbzSt8VuCD6o143I2KIZgTCL9rGepSYSE8uX07qeCgg
heLjw5kYQkSTDU6otoaHUpHKY2TC+vaBO5UAw2SdwSInlRS+7OdW6T5q42Duegf+xgZs5HAtMDpl
vpTSvLWxkbOYz9s0Krhq6QSebiRMQ4ScXkZaH9R8M1NxiLKhuVVTMULWJ+rzxWA0gN6jKdG6HNJV
opbS7GWKMR70jD6eIOqjA2CIpnUZMmc76BmVAQ6zUS40NLcdBvzZwt8USLcpzxm4TppDiNmh7ttV
6txadLG2tZmiUBLImMjipIbsM7H69WbS+Kzj9OCEhr5mOIA7KtfaT/9sHP+XjSPW1N9agPzn7Gl4
ap7f7h2//cwP6ZjWLN3RNUqziBdQxII+/EM6NlCVLUTgb/tGlWPBDweQ84HdJLIyzEu0ZW3ZMn1H
kGuU15ADxiBkGtAwVVpy/s7O0Xm/PVpAitxLpGuoy8Gg9O7skSaIacrs1NvJnKJ7PJhFxaZIwwQ6
Arf3RqvJu3VVT1dZCbfHyyLUONlyIGzJBBX6uFjuz1m5D2KRE4crUtMjqTE8j50pLbJQwgAYR0sW
dlcFSXIXA+wjqwZnOFx66yLEcjlpcrii08BkJ6Rb8TZAzLtJOpQSSnvnY5YYzH9sgeBowcTTF8pr
s+d5T1dhiSokWRn0kqhhB+WYzcUI1QfEkYa3YzSSDYsgDXoQNKqdNcfBDlZcdy6ckJ70Nn5MrFq6
j7Mc4aIuTFevx2LDuCpcVYuyXdltdZpHTpf52F73POXpBOdDAmZyQQtdc0hM146T0oVnaJKbIBtv
wOi8VNhRBld2OqguRE1XRsW2W607qF8zrx716rWpjbIbW91lR4DDFSrqlGLfBr24VIAXudFY3Az1
rBxG1AMm+2z4VJutm2rD/5zyg25X9+TCYVQp3UjlQ/iIMrtbBsbu4nJJp/SxNhANrbK8AXw4PwD4
lv2KWKRPXFSshYwaCN3A4xK8HbVgFVg4SdPAXN4CIEWDX+3Uo7YBZiOftFSS1lg76TponeyuZApw
p4waYtoiGdNZpq1NZtA4aEh8RnL+0s7VFS26MwhFad+BLHgqdQaQFXsjImQBjZ5ala0G9MOrbIDg
Zs82hsmuPk1wNe711L4127jclCOVO0o7MZQLUms1EzSguNG0V5iRP2ZzxaYZo/XHUA/CvQ6Y3ULb
Wtp1nEB8kWTyGJ7FA/66ownmmMd1pDA+j0ZU7aieV3Rk32iSMq6IZDeRr5bauc06PJp2QGmPFoEO
4c7hWdPHtEJKPTTNsXY2Ta0xfw4rRUFZmkrSwQa7Irs3y6OqjOKCWHcHb6uRjI8WFIoLPTdldiNd
77d0Anl5nKgxHta0LNcK56IG39okX4CLM7pdiYECE3fSTS9sXGZpYzdlGbxMjjVcZmpDgiyEWYF0
GBPkQSnCZZEoN/8s9P/LQg9997cCwY/UxL/Kl395nLXyz/HT20X/28//WPTND+g4ZGf0xZ7MkZyl
/ceib32gVtHm8A9t4We9gKWd/ZbDMgwWgZXOREr4z6pPFgLS99Kpbakq/9ffWfWXE/fbMzFKBvXI
cDkpeWSguXzytydy9tIpSbZR3oKzxI/+Qg/UaZyCXWLbfjEQHI/lPZUqK26keyVlZdPab0LUfz2X
LzPYX97CIgYwtwSvtQQ8fnoLJS1rlW2H8rZsJvkY6PeTUx0o5FsVOSU5Kgnbrha+U4UFOOvgsqrC
ZEN2sVgN6oPOUGqOmARI4aU8S25c2uvOgWtoUem+OMV1o3fRYX2pD8EvVl90TEvAAF1REKdNHxOG
SMv/nHSdbqjpYzuDBMrZt0qryXC2eskRhKileWA2UnA0ljm+uVLTapovp9i8teJusgGGck1sR/w4
uYbhRNUuQjGQB0hmwuCk5+2MYZ4tXXJDo/pSv7Vq0wO2hWtWHrEai9BVJbwupvOgaNKqDa0nXF2M
NRPFdUzN000L9JLjylG0EmXm92PuoTucR4lASD00q7TNV31XPfK8kjdxJq7C1rpgtvp5ptesS1Kv
NodsA5vIdoeONiOtKL7koy5vUvjD7iQPXwo99ENTtIeiHQymvJVXmS0vNlM+rJ3CPAm9fxaX/2Vx
UVRyTm9EM/+pe/rX8+tPHp9yglmb57IJf15Qvv/MfxTIZY8Gu0NWiR++ylg/FEjjA25Z6J+EtamZ
WLTEf+8jWXd+rCAy1TVEfMFH2BbPJPXvLCCsPe9v32Unyy+TTeJUKm3nP9++jloWdlDa2ZaWiYch
jUa3a9NyhYx/T1DppsHhU8iivrdz5Z5Ig7IW1rRmrLHvJstezVKt7jSc0TtOtbNLV4uxc0SabVgL
iOhINa6/3mlepqBHKYos5mN2Kx+kMKse2c/KZ4m4/AbAhPA10JJeZcfxGkYdjuTQOrMrta+GOWar
0+UXIG0GfhsoPA2Q2KqVVOxwg97s5a5BZ8lPVDUQ1+n0zk2ycUcH9nzNSczwS2uwPGUaxC1l1rS7
TmOwi0DWcOhVrgcOpZu2Cz+ZOkdkwj3Zxsqz6LKj3fsi0XhPMlVbV3gempWBX/aKCBwUiOxOjAQg
NcJDU02MOLf6J3qjlqNjP/gNPqLPMZtTmtn1me3sDE+TDrONgel0BXjN2gzF1HqDno0r9nlfoU1q
a12ogR+npr5M/J/UfsK42PX7xEnzNbuewU9m2g3nDlAybAfwpFZxzut23b2maKVTsFTPCaket5Xm
DO5olcrZqdTsvuuN6hO7yHXOGZmNZn5OifKReLUbJDQbX54XiOyyqbRwWKn0DXp1Uaf3Yi7j61SL
GOq38HA0DeyWW4V9c8OIKrhhBmJc6OnEgVfKjWaLw7pmuFTFRyTO4Z4wevvVoWrybsw1KHCEDCgi
Ly37EPUOzXsDZoFaACu3BsAyRaZx3s3U3tgio1QPVpyQD0usPrsr0gKDRBY5G9LmylEvyJe60FJL
VFO5ag5Wrdo+QXeFL89RSc9FAhBNq1YFJ4OAOrG5pKOslmb2w7VdMFOMs5SomVLS78gTobyYODuu
1cFKHi21p197DCjgIIAQ3CVqVt7YVLSvxjwubzDVK0fNHCnmHRLngL0+eaxAXeEEUyzayeJ0VtZ5
gqGeEe54NRlUqosu5dEnQLqs2niBwQ3QBrVuIIZugEb2m5oecna32d0UQx5pBBqWpGki8ULin9tw
QZM3SDKgQEHTETJaAn2QVm/70ij2zFBjHqfYDH1IgtOVGnJpGgJ7yNZoez58PYXTmVQH7zGHjHpG
+C4vqOcxU3Ry/g4kJ/iFHD6imkAkDW1TT7fo2OXVQ8T9t4khEOEvxgnnB2NMW7sVUTdXKUV8nLDN
fI3rud8oQquejZEu+EBATnh9Z0mQVPa6hykPsQ5owXU4R0Q/sAGi0AeRfa2PXIP60saW5ZG+R+AT
t22iD15pTiaHz+WDd1o+nSdhdB+tMec/zJbgmtGziFBgUk4rGQ74Jhn05PH1SuOAyavNodPDqZ9U
kFBLMx2u3vI0VAuCIwoTqkLnOrtDV1Q/DQX6Gs11unWN11TflWkwnpURG3jTcHBSQ2FBN+75owoq
7/ZYNfirqYzc1xlDgq+dFcV4w0vzRHHtdFEHinoO5MQ+DzUgsogrEsOrYwSPjsqhFt9sFHPmpHNU
6m1e0Zrg6GRhJN0Akiaqg8h1g2HW2ZQcX1avf618oJcuDidK6ts0KICKd73tlWzv8BjoxkGpWz3A
mMJp3jdDfr1YQHoWNVQMsvlHbBO8I2/pqXUZe20yH9siOvaoAMBFb/uaDGlvlI8FgnBIIN5z7Eu1
Eyd5CK8iOOgQcqMtgNcXY3AuHK2EnCChGKjWeWy1tdZHm86c78KmNX1DHu2DafILq8BgSyO5ajUB
Q1CL8tzxHBPwY0ucnrFinvUq+Yi0qBxNNHtIonbomwQHPcWi9D7OpyO8D38YoS4H5V4rrOBK6aTx
pIxqsrbLcEJgtM2I9tcUN43T66sJAw1kVLIUfc9BtrPTOvKlRvmKCIr4rj7XBVC6mnq/C+RfWJZq
DgFBNb40SrctbOOaNDRto73QThiHgwcpVO/BRH+hDgeTfNHma3AQHQmMol9JuQY6ooVe4qqN2rPT
Mssboek6ZL9k/pr3hqfOEWgSvKnrqhtvikRUe8dKNxqFAWBoZ/7ATDnWY70MloYpPaSm8hHxU8WX
VO/Sccp3sq1q24FF2JdtUbHHTOkEcTAphzPm4rJ8qMmmuiN4scOUyta+4cLfJJMpcyINHmQlrz0c
N65QJrJL1bmKbes5VpFk9KGWHy1TIhyUpred0iZPGMIB/yY9oyCttj18rK0btE6310nngEKdZ9YD
rc+2IZkXssnIsN6M6cAJbuq8/RpNXUC81Z6O9McO1UoL+5iKx04lygIzVKzmXi0OpWIeM9b8ay4r
oiRmoFwBcNE5BFDx5OUMlrb0hVe+3hLSahW1em7BraywOO2mnEo8raqeBMqVX9sgoxOlv5chZ3py
ydPeUWtjg6PjCxH1hzrSNvJUBx8HpZpcGuZ619CGlACmIV02OtbcqQBUz22IIlCE9yBXWwopNb+D
fHDAwReu2CTYXwn79WfaSJSPKUd69hBIfB5s5Gk/UA1EhkANbNDaffIxsYiu6K2eP7eIL88dzgpa
X3NrsSMGftlLjJNISq3Tlp8Nc22FIUM+WkFSXpMZHLFw1OysNMlwh6qxj1VfDY8FwOfHQVW0o0na
yDPYYbkNeXA/4y5iJe9iYXkMimsvSHPbccGAhId+JH6zb9VAGV1wFXg+nVqs7bDOZW6J8I6xpHQy
lcb2Uk0da/6IpDqCJpRWPRS2g2U0OldMgXuFKh5Mz/o88BgcRXksmZzvabNBXqqNHENlHdw5ddyd
B0YqyQouNrySzimkYxfaxo6dQrpR5LJexSMZa5ShUl9FzfhS4Fg7KXDyPg5NPGzx59efAE1D4mYt
9MN5qQ+2BlxBOmWEsjVDa2YXlve9tJdLFrBKUettGcCfqBjieUkwBesSvY23ldWbSc8+Wy2nJAY6
wyk1JfmyCYoGT0zZbGoVwVMMaeCxZ7gcSwC4krQJ1ZDIjD0/JE1TVn4CYRVHXN0gx6WKGwM0W+e6
3Hllk+obeP+XtJ9iXyklHgMCtczI2v5qTtnjpT19BqXZ26dpqLObOmmHZZIqPeAkO+KTbZ8Hi2xE
bU7d2oFvvBZZUMF7IYPZNHHsi2bmFgfY5UKHO/MELU9wYAUYdma6LWHrO60aN+Mwhn6rzTeTqVnL
kAjbp20nm6lQNoTdiCspzYqxTvgM74iEO4+8HkzsqqcicjUCRt/HvdKCOGiDHXbFQxzWZz0wDJ9E
RrIDPz5eBIkNhtpP4EArwMjns5OyuioXlsAY16+SJYBebdIcYuw1EOAaKU4stbt84KWE13lt5A0Z
DxMo/FbVa9EXMe5G9r/zwWCrknrJa7fv1FLzO742/hrf6n95bgNky4nwqC5BTvC3EVmmXnfN1/Zg
noafRvqEiYL36/y1YlgXw02w1A4rSwExPd0lWrahX3a0E9ezFq/myjzHDiRmpuMotkuZMfO35ASM
1/jcLlXHyVJ6rDBOuhyWIuSYRuQmnNTVYKj9pd1Tl4z4r+8JqQysfrQpO0ut8mCZ9Tlkq7KCQaf5
E+3LsG8WWLRInoalmjl+bWkGYrjPJYqbwwTocFq3hQclYvSCpeC5Wqqex46UlGxj3pWIuhHLvZiZ
a7kUnH+1VKRivc7JfSrAskr9S4Q51KebxtlP4UzHdPLaNx1OTfdZ1ofuK+V0yWFYiqlVuwWStZRV
Y/u9kXvhyDiz+5ku675Ld/Nrw/U869NBjxuic0sBdgYs4bKN8i8cQAHslioJWzQHDMokz0o/pke7
Xgq1O6nOv1r90rI9gOBdgxTr1w0w7Ae2L+YKBNl47gJiYOyBzlpMaTemlbB1FQTcPVMWYn1Lvfe4
FH2buDguCNkWh/m1B7yeuuyUFrVleKAfo89F3dIZHiz14bkS8SiQX1vFORqW7AMyx/6K+MTC0YeG
co6XMnIM4dXDvBSUz69d5f1rb7kJ+I5Odnkobgs2/StDmW0CcV25blkYV7Yy7+IJA28FJ4sH9Jwe
Y2SgB4V6Pd+sLUYfRhHhfYY4wGiTFz8Bwh9PSWnjKShip7tlxtOEwYpBQDFrCMo8B2c8JfEwQ1gk
Iwklom77l6jN862ldfG2qYdqO0rFczoSEGynwOL42B7SRuScsxr7bOZyfxVGXXUm0Db7KZME/Ou6
RKqsRDyniMRPHDvY88Y+cvALfMuJyjWJaXuX0UD9Dz7gu3bzh+SJKtNb+zvV5/KpbZ++RKJ97rr2
rZj8/Se/az8mJcaESJCNQX9aEECRkn6oydqCCiBEokKqWbA7DCt/uM/UD7Ztad8SITCdlwbQ71qQ
rnyAu7bAsf7tWfsbavIi9bwVk2kxthZODzxKXgxc9TspCN+UlFZSRZdK9kIbuLOR7BJHjo3n5s23
c/WrG/SvXmlR0jQZpYtdzLtXygq90OdR4ZUYRbq5XD1WRTmylkTim1D5X+Xpv3olXgPnNqA6nR7o
nz9T2EnBTM6w2nYDgm8g5FPb54wV6z+hcv/ihSjDVYEg8XIyr/XzC/Wk3Ry8FdV2atOXNEtfUAVe
Ev79t785XsawdeWV/fv+b9SR4m0jY6woS+JkC/MLpSMi00b37//jq+NahdgGt82CA8EQ4+1sYSHa
Af3lE/VB3hxGmV1uUKr2oaH96vcfavlN7y4821Thn/F3gtv33vVo9bktYd8AsrZIQRi1zxBkloae
O+K0f6KIv59XcJUzyzExIoOicJAFfv5YkmKU3JslzibaN32rRY1JqKZYkpJPsh3mXqyTdVAmOk5+
/yn/6grBtmjgF0W+BQvy8wubTSlUJgYVdUlISYL540Lkh6+b8L9+/1LLxfbLF8p4iVWBQBt39c8v
RT5YTHGZV1uJONE2FxVNeaoc3Pz+Vf7yA715FZastxcI2Xkc6HR8bQGHGhdqM971+VDsi+b/99W9
eaV3X92Q5lHZM6LeRpmYfA47TzNbcO/Pt5eyfDM/fXOEA3H6Uu2ILcNBBf35M/HED3i+tgSQzSR0
ISaUbsfZyhs0/b6OLWkraaAY7IQ+IqMhHhA23R9IrYb86/e6zBsxk6Digmt9z0gtsU1QOwT5qOox
92Ooxas+oSRczXo+McqTObw7jbKuGREAkYVlnWSas9JqJKq+Zh7nDaXFjoYSQq8pi+ELMlXuWUmg
7RYrMwp++jIxmdiFs9JfVhauy6aakfZUp6zdsuI/wQ6Xr2SA8Z7gobW1xjq/nhpH/ZRaarmDbRY8
wsma/AGa65b9Ny7XqXA2Q8ItlVqjCXZyErBA02KkYgMQxq7rIvoicS+sOtUqbjoJXqjszMOXOuBB
o3Qm791UeJVELy8GGwalx7iA9ihOdfLnJF20w5b3g2dPf8ppv1q2sQTw6Kw7UT0Ez3vB4kCqWBRf
RWQkwmqOXoRWiOnVcjCugOzaiEKVRGKNTzfT6uLmidWRtwHpguSeIg8igJomTyHOXpTzENvGvMl0
EFcCWihu0/JCQTL27byON7aT04qWyeqnMOqNizFUksfQLrM7GL/Q1FqtegB5osIz4Re5FoLEQ5Xr
YATMoEdHpGTIWVT1ieVmNHUEWklvsrt2sOlrk7A/SNTTPgZ8NRdRUlcnUyQvJNWge2Et/pTb8QvR
7+AGBa7cDcvqDHMNLTtTEcabTEZOB4+cRVcgV8ZzMsY6eG0+bdDn8aYPif6wE4GIkKHA7ONQI+xP
qVx8DLXKOSVmWLyYkqMclTLhSxQZKGBVGgjgvd55GRmt/UwK5hCZfGUE6PmYAo8QLt+JaWcV3toz
9bpuCIAHLATnmbxGVg2MKMn9rOvL2Svnxsw2MWVN1aUi+srxQW7291FQSc4KlAOaZ1Gm6LmmXDQH
iS35Jxs3xS1iWP6iWlG55zPS/dKxeMtYsbc6ALO7kpv7VsP5mnhGIxts2Jkhpy7iL6hfgY370Iw4
gnC68yfoYBAZ7qhWyJZSCJkIDJtDiR/st0pnIO31Ok/ZeSJU1XHfgwjLhiqiSgyb/kbYRfKEiiyt
nYL7yGTcQiGeA2QP4X08AwPo7+dmTjdGJTrALxRjkzivNGNeYSBOa4ynIe4sE9zL59mp2q/qzL0F
wWFSfCST9mOPufghTHTjgso2lvGx5M02QtL2psy0e+lGkTwl5S9hRGAlagI8+9fRRbO0NaZN8qJy
lCdYZmp73ogCYRppXwLONPhRbkbHMHWWQdvS4iLxFxLoZPxjYf7Z+LoMAHI3Sc+o2o+qMXouKpjV
2MJ6FzYqR3ldEfdVSwW5lpd54zqCC2Ee7GI/AFRug0XskDrZa5VsA4LnuRONBRYQPbRWt13Zf8bq
Ge9z6npXAiDQBU9j6/p1dKMUvC1ZyfrLnsTfKky5z3XQbSjKVvrJVqr5QnY4DYJxpVR0rDoPOmJL
k3gMBg6qHxc1q+J4RXBi8guROCeNfe26lrjrU5GBE+irgLgreN25YXXLB0BZiNC5V+l8bjVPnmgY
s0+E/YwnoPr2tdZ3yrEMB+WWZK+2HwVXVMqCysg+gDGQgYzq6coFWsKR1aX00Dl1hRi+tFKTNW4I
WcuLMENdKyZzAF3OngyDhbJpWD/MCGg4BYWLmtxMfmAtdGhDE5T4lmlzUAaxJICXzZ5wQDBlZC39
ZAJUmONh9k0KCiAWl82W6FTnqdC8vkRGAY8IJiaWPJkrmBgIdIOTVnHUjQbN5o+QV6cWpCFWCrW8
QM7hYhrqSCAsKiAWqBjD6esMCDFCWb2uukMUP3SprTzLA6tVv1wjhjwrxxQp4pgYY7jupwiX2sBm
BmNtZxyT0Fi3ejJ7fbnklbWZFbErUePpZ/kISMQ5zRb+rFG2Go8H7uAJ/sI45OTmdZJYwO0IA882
i2IfzCK/bgVrjxSyegwONz2mdb5zEDRrDagkdiombVqgyp8dRXQXvWSwJS7FyQa5tAXWx5AICMkm
d0LpEqbqSYs1eD9J0p4muoUvg2T+FMva8ImuJSi2Uxlv9JkKptmJ51UR1fmpopn2KkuBWDW5Dzud
bHoQenoXf+R+vmt6OdyiCZAPD5HeGf5VJ51xdMZjEZqKqX+WDJwnqsVDj5ZVfSfFUXZXF6y8MHuc
Ozm3ldtYVirSsvxJq2+LrKm3hHz5G6w5/hF4oJnJ47mNgDRlo6AUwtCbTRE5rqpEFWAN2uigJsN8
RnvgnFlziSRO7imhnO4KdH+HAIDFBCoFX+bjOgeESkFrnLsaGWfZNYKhRnfI1Y9trub7odbyPc5u
zCSlLeq9lrXCF0o+qZkPTR1858U0qGM+8/DJGta/nOTzuVaZ0mOuoUFlo8c96DYGpRqGcoj7vb3X
e1FSCGYKjUJMjgONgLGCnvPSTkmEdRDE1HNlmKGrxKG1G22LtCQdfSQntZqavxrjAXlKJtYTce6m
w4pqWgioiS4c4UH/TlYdzeE67Bqh9DlrT/tIcWqKgDtmN0OijZlbKSaZUPb3eozPaOqpTk5SP67k
z7otthUcG1eaaDJjXhDRWsv9xcLRX2P+kS4pdZUSv7NyzKp4Rjfcpyox8aTFCpDZ3Ra9rFuNdfAE
8TJdWQMTDFUuMT1YtXKPy5NsLM9oxR1DApzQJRnoOpk2H7ldwy9hZikCUgKjs8yC7ZCAgt7FoyHb
ayvMWd90k+VbD9mdcGDTYS7rTkaSgA+8TcUAGs9m4Lz5/R5f+2UzumyIobsbpkVy85dTYDVS/Wrr
glK+PNf3ggTUCwg9vsGhA9mWu3g2sTAgVpJ/TZTu2GPBdxUS7ydmxCpT3PyJB1cBFxAo26Ry1Gnj
Cp5nxlT3QseQcSjA8DICg8TSUdNN/5cIjG0YcA9qIyellW7lwY2my/oTLQxz7zr8Y2NLinVNOyXL
bUDl+Z0cx8nj6xpYFAQz6QEjA/uHU9Vrvu3d4UBGipGpbiGepujvDjztPIe6aOVsW7OZ8E3E2csu
FIzH7YY90+s0eNIkNHd1Zo+15NKIWzCFZoodxq7i/Onc/HMbEiINc34MiKQSEYzQHt5pDhbTC9YD
3k+TK3c4gS+adJkzW/FTQcYsmHjk//5q+OWgzsVA0otXUjibOO9R4K3eG3k4VPAEazak5HwCQFBs
TYoiKi9oNPtTWc4veciF1UJSE0AmpkmQ7e8OsiS3ilQ304zFtcaywYqJCt0WPaMaLqxOKh1GzVxr
ePOHq9dHMCloxdxEKk6liJJG5mOZ8fQ6Xx9b9ji//z5+OWc7ONHJa/IuCUSqizL39gTcTeZgVrES
bxnSxBtDCmnt1Yc/3YO/KBa8CkIFpU/WUhDzXogRseipUC/jramzczVDVo2iAlRdq5QfuibttO6U
sHOPoErd//4Dqr+eh9kf4DezIb8rQBbeqSWTkkJ+zIZoqzPjCbaZXjoHKVhKNwT7UjrUjOnkSIZz
B9/4DqhT/SJVxgABtDdCDxIglgQWO8pQ6kzYGgQWuBW6njZbNr/OISmL9iu2iaDbSUHLqfH13f+D
u/2DXq1ohGTf/KF/cSluibrE8Vuh+vuPfBeqEYA/EJcHhYRchRy8oN6/C9WKKX9QdZPqBLImr5GW
fwvVqooardAHYsi0vJjAkP4tVCs4olk1ieGjjf5tTJLx8x1BewwSKCg+stisx7+qumSUszmhcfgG
zmXFjHTOeQJDHCkZ3GYc8So9bK5hJzX/x955NUeOnFn0F2ECCY/X8lVkGRbZNPOCoOmG9z5//Z4s
aULTvauZ1bsi5EIx3WShgMRn7j33k44BknqUaleW4XitLI2YqCz27GXWTqB5dELIVpoDgNXXgA5O
A84+XefvYX0CXEcbyviS0DGSr1bZ5r6MpnTTM7RZV6CH7g2NxCZ2iuMqJst1W2IjucrElDsfJN8i
Elr/vZAadVZkjdZZY3l8nooMpGPUduM7o4v53TVpg9AAcNmWUTjQMnOIyw1jhfpgz1r1Afs7eSc4
cL5oKZ2h4SXzG06+ZomkOnURccnu+9CEgu4oU/44XTyEkfOAYiaOFySEGt+USjFd/el++T8m+LcR
/b/ehbevwHEYDeu8g/Crer+8C3NS8xL1zD7SQvl7CiF7XRlT4yz8cmJeZeKSQUJt5P4FJrhxD3+W
j1Y5XglSgyj7rYxov1zXLve+7IejZDKAK9MqvwhD0V6K2m6vkYpfseMkOSIAE0AAlfIMCZi3DSOG
On1rlmfPa7510M13djXeg7QznozI2IJf+UpqqLh//aH9n1+4fGhLMSSUMpflhcUL+OfzviIjL8Qu
RZxPmQdvQn37ITD6V6z800XDB02Ovdns82SEShOhdljkRFtvWraf0Lgm/aNKBZfBt8fprBwgh7E0
7cdg5n/V5Gp8xx8q7kIwfOeod6D3wKm82F7wjHjQ2Pox0j5iXoclL0R9F6Pv30Zao20BTzqruWy6
tdRz7mmz04c7XZpfhdPfj40hdreSCmMl4SH0r6sYwNJ6suEN6ajiNnb8llU+katWOX7GEa+TrDPH
z4r94v42eWhANy0CJihLZiCbLh6nKw9legL/x8PUpvEuNb90HDENQUuN065SuF53HitkUM/e1K/i
uK2Jy2GSpEu6QSNmEucWxXQlnRYqclfEyTGPzPqeSGnjZca69t3DZNqAxEJbhpMGW9skXUF4a9vu
/KmK70jh1Y8B3oeLp6YvNpv1DokZDKl1HclkNzeAnhhHhcaVMdp0bjvBBTWUSFN6EK9s9WxqqXzI
h7F9sSKI1T5RXfeW1fhLHWXn36Rk/nJmwXKDUsxc2TQFWw6WHebP944RwpgNB1e7RsBBHzqfGD+N
vIDneRoZBbgA1yxf3Ts4yD9Hw5PLtgPiu7TGOfpKqnI6VY4RHGjU6he3tgDERpmOY7d6nXwFf+qd
/BtAbNg8AwZdls+4ujK++/syCJiH4Ehft7BI4SqVxnXS0bMsSO9TIDhtPloKj8RxNW8GssPUgVqm
aMoqPNp2pxlr+JjggZNpmE7wpuTD7batEizUcezMx6aGeUTzGvwoM09/9bQcTEUi2pdCkzW8rxgj
X15FhCuhDIo/Cj3d1mWj5UtAWn20MPve2VqzxBmW4to9e3qNtPOvH91fCxkuP+ZLancS/sBXEIr7
8+Ufa/qqUDbB1WgqDI0dLA8M0bX2mEifTyDYj8DlabWnZI4xwrNi86sjmenRtPVIS0RKxjNIC5/V
MDfSoXpPByAKC58VPvYt0QRvyCz5MEqjvK/jXvub0vv/+gBYT/i1HKyikAp/uX8KLOCNiFDFZw5O
xCkR04kxa7ipnYAZU1twzgT1yHlhOBwxgG21NTSzClqqbt+JEUwpzx4QL2Mu383JFcCxJ0g/RtUH
mzrzgqfMrXHDR0WIguqvL/5ty/qvl4W69ykdsc0Kthm+QbPyy8XPmxhQw2hfy97Gxz+2bfCDuznw
KAMZeQsZy2NCfX7OyGLZdqwDkeIXhbP3qng4lMy6lyMa2n1mjw0ZE7X21Dm5v/VHBjDLpu6Ls/Ra
YnsNPv+Y+xnAznZsf+BBRAPox9ZHG0Cc0KX0BiQ4crr01pgWWxcgITAlWzICpnHq+j54MSKR7GCf
e4cWpv46wPe7wYcfbqosmt4ap5DbZhwCtCJRs5aFW3jLzjCm7yRXcl6RL4PBsK0MsZbM0TdmmX4I
NowtodP1wkyrap9ZKDQLl0edmmC63B69wNfCrybQImJOUv7PHr3nQU6NcUXug7Q7T8CU+UYdfelV
KzcJRMY37rzhO/htdYKoS5O4wYERrDyqwXW8sEgnQffZ6IuZNMQnvTIk3iZIha9unnyaZQ4VNoym
PTuedtkoIatmIWuKJuR3NgLiE2Zi3iV/fSNQJPJN/3QnYISmZiD5QG3XsMD8fCdwVsOKS4caqo3o
GGfpPGCL29mcjRMSvgAWggusPF7AuA03lGLVu2N0EtsCZ9KaOcgexAqD5CzJDhBn2nEx53qcLgct
YZIVhsWmq1FaLniS9I+Z0dQ3jv/uw0Cc9r2PXUtbQfPM3VUbeUwYiObLjkPR2WvC1GbuA6vAbwxE
IMg2mQDgu/BJ6dp5KH1Ws6wYSVn5N/ThwuS3bOeMdVS8xcmqPaDcm8dV2+v9V23zWuH+ipjMAmyc
hGy3Fk/tzs3IGFro6nutxrh7IclohxGZPdpkMGj0zflFVBWm1ZKxBr9PlAPa54FgYsjNmhittST4
2/2kT8xXzTCkh1IksDD8bNaQyMl6K5E5lkdjCix/WfVp9Mx7IH5utQRCvqwY/pIBlycvLZJ4VPlp
7YQ75s86ST4mpwFSgir60nxXXLVhVAUOy8WD7uGlZh/lrBqETOHCjBhy4RcADdf2KUdeVrZcqHYE
2LEIup7HAAayVMPb1rJWGTi6pzDs2n2gW7x1pEjMj8gM4nkZCqdK77SuU+WPPz+EHcOmtUQ7+JFn
JedqV+cMjTjZ9aVWYKIO7TE9zNwIyNVJAVIjhwh1LN7EV1HK2ON+6uVDUmB3XAg3ma4NteWOtB8f
lgLjmx+Gk3pk20ttjTE0hbKGEBmicSPHNag8yOzw7ICWNCixcP5yF8as8UrVwq46EHYIr6pAZ/4r
sx+AHq9IvbJ4aVO2BosxBaGesao+uW4eXQzGoWQ0EKO7aP1ZPtwepP92tn/X2VKD8+b+9/ivfTm+
/9TX/uMP/LOv9fXf4Hu5QvnuVBjLP3ta3yHdhb2gQ/CH70JQp3n+Q3x102UJBJ7orJQ0hRHQH+Ir
jHhwIDjFeOiYjPCn/gPxlWX+4sRTAy5kZo6hDkgDDPAvL0mY291QuLF30Ot8utOStoLwauATJYT5
Ky8GBu0kY2CNzwgMWoCcT0+mmTdvCQzgCstYq10EQYLhIqrm4WKZXfCcSiOw7up4mj4jKC8h8REQ
QZdB0Zvasp4kKmQoBeuAWI3nGTjDQ48HjCQT4JvBIUq87GsYZvt+YHP+HE0l9b3MGi9HcywMVmsl
TlY6hX3kW/F+sIdsnVDEs9IsfJsSJDedL4wxBCXp7j7MMnlK/GkAqlNbV7B4vVyx9Q1+dKbMz0SY
H9Osxzcx0wy8ycCs36EBDC9TCGzGmNvoB6aoCn1xaLO3byb3QjAXaJhpNtsLs4DpKN1GjAufMuyH
m2vaQ1kkqGcRF4WnQTOAKliViwy39Qi4ooC17mms04SVrxT+Yhr76F1iUt5lBImt7SGI3uDdYh8x
vdzbti6CPlLYnOxxFlF0JhR6z0anDHfxmIVblOveAY/2sNXJ9TJXMs+dxzwiQGMrCwKHCX+IDGCp
hLzIRZQWAvAVk7SvWehTxT6jcfUl2Tr9neM3bPGCtD70QQr3shWOhF5TIlKviQRXB/DCxufBW8Sv
vBMTVx+/5OD218HN613IcbhLNb39iLSAfaAPfbwEHuZUj3VG3gZ+dm1ZGhMXx88wtGgsHs7CDVx9
4YUyOVPMl/0ytN3hNWOevHB6q/PuUN0S/BXJeWITGbr+wcS/0a1CJOAgjIvmXER9s4SHDgzNdKqa
xfQUQYWN2+5A0obKy42m8OJ11Y+Wv6Xf6Z2sY9CfZvljBK1pYeiUJGCBdQUe1ZgOgFZAQ89BPyV7
+ph6TYmemCw1neG9Ihzw4ozkjpdVYRM3YzbEYJq1uRElOXeLKRbjWXZtmDzXOnau4UFqXowEXuAy
7bZw2+LrCJ/1khsE+GRffLvUBpCSoTyBhLSKSGvvqZTZAZ50ckuCUwgOa5WL0lgIqxveRhvmkEfo
67fQ42fghUB+Ix+tFizbWGDVX9JpDsUO4Jay6gQko/GEoiKBjj93Vrppc3JUgHY1S3r2JUMcIukL
0SyAz5TrVq/yZd2JYJNEqcLMgk/GDaUC5kyEE6m4MzpfHEtdYMorrSti6h38NvteVlbA66+BNKoX
844UA667irrJF4M1B6vCa7gDraLWT+wiZ2fVtj30DvKTNxjdu4ORN/k6TmZ3b07+eN+zsGUnnNOp
gZoiPDuX9Z3T1v3BSPr8CnjAAmBbOvbWSSC4aX77ICMezLRMfrAD/8boi3RCL/2CfGGtEjQ1VB5J
+6ShgTtR6rnLtsCbz3pLPAIv5tTy8oKok9bCKO8k6OPV/iYZQ285GHh8hj69mFbx7CORYenPg62V
5i7pwivxNhFmOZEsA1woyyTWByQd2EB2kK5yQMBEt2tJOT7RmkcrfZj9vVvC4TMyhzWSkRhXpwJf
zPEEdNhqbLJnrHytxGETy622P9p+yuZxSqb7Obfli5lZFjU0OSFRCplsqqLo4Pad+8Qwi7ij0ckm
DqmWM8UtOTsWsR1oJGxMJaHbaSjPesrTi/MouUh2Zd/TsPJ2JdO0Xa/5SPcFYrp12JIaEhgS+39B
/M5I574M47Q+5SRubSH5eHdpY7wzB2XxGKK9n8hmQe5Td2tCKfHtmVyUhzEj/ySQsF2WTphxtQ0z
4UH1NJ+Un3jmJeKZAzIN8kymJTV3cR9jbzij4Rq/Bp3+kSAOsis6Q1/rRFquEsvtN03r5a916XmX
qGN+CfS76F4Tz94Ydq+d7HQqzoLQydWchfoTks+M1a7VvbmQyR5dqDwPULfD9SxqfZNVVn8cZAcv
XbfYb2aplq4xvGcculHcP8aWWR68qDXfzZZb2jTrkfyNujgiAWnRzdviTIxNupwATPBUjfNjKHJF
cdBEfMJ23t2TTTXct3YW7PTITpZD0qar0vI4MrPwLPw22cW0GgxWe9fDweO5mMPNcIVRzzAoZSN5
0LMq2uRpkp9iIwu+RYUcI2YZdvv7fMtKltoQ3xtD2u7wXdVk+YjpI+/6dEn7J5/MwTSWVZC4bNqz
uIPgWLffaqaU9wR4jPdA0lTas6Mn3G91dLXZ9T8yKDIIRU4qzO2gx5cYhqKXqq5aDHMO0+a2VHhh
ddrzRp/eI4KbnvBoM29mZDitx9FMqTstiXm67w520z10PU6bc9iYoute9drxcdewuRKp/jrjxC92
JXCo+IXJj3KYdqXT8yZKdS85yxLE0aIw+3zdC6dezWzysQzrk/zyusFZB+lc0DzGHMGRaTEkbBpi
sMJo7rejnj+NEy0d4ZwhIiOITXyV2aoviuzBJGN0ZRfuoQ812H1OEy//Wx//f/gUhrB1djX/vj4+
klmg/lVVP61//vnn/lkme95vQlcbHjZ/v6x/fEGpzADnRsL5Z42sNAP/glMIl/4Q+ZzlG47LFPQ/
qIl/XvOoDQ/LJO4bKnZPZ2THJ/vzerXXO0b+pMfsOTfA+ucNlrZkVMONjHf3SmcN8IkWq/5U87e/
keE6nlpt/mlUwU9HHwlRTXF1fHT9v/z0GLuenVZtus8TjH8kpMmNZrRAKmVO0oDdRfquY/AJ/UV0
SlECS1sFuimzq1XO32SgMAQlvHr8lKnDq8IX6oWfBsZ0aWJmti7rnTdZse7B7ZaQY3UXxO7crwvm
R2seVnn0Xbg6SsUZ0FJbU0qUTjF8dxMPmGQdwyJrAL63ZHOYzrXWZvLFSOUFUs8Y7IbThxM2M+Wy
gkNpK0Svw7wDw7DFDC4YmQ2aPgEgrN6B8SMr3M/9DLPGiSwNlXo2V2HfPArUV9rBm6KReanGt/Q1
hGbobEbf1YxnfQjCeJ334cSIF42u/RbpPqWTynfvoruyM1NGGSOC0PFSGy4DAjf0xvAkfS3yNiUL
rfA6hrqz0bM0B9cYhzlyF6MdOqD2kW7ae2GpfzIUke++Tk1aFVun1injtTS2F5DuGtgVgjCjlRg9
aXroIR0BA2GRO2QpOCgGwo9cJbENKpOtvMWzte5MVBs0Ve9V9lOnrcGWcHBiOdv2jmQ0PFKq6yS+
2Uk9nFwvIQaOCsWkNSAbTpIGtRpVXlyTPSiI7ZbKiYzJlghKj+CQRoXMDSpvrsnHTW3V1aVWWXRk
x1Jmdz1AT232g4fBmadvqcqv0yOS7NwMVq9p9+Wyi1P7OwiU5Oqp7Lvan+pV4Wv+JipEvO+ATr0l
Nq/LMYoQQ7hNsY/9Arc2oXro/zIma+Ts4QXGkusSk7lE+sWmgTy+lmC+yZ+f3KIZmgVVQPthlyK4
5mnk4vAm0y9V6X76CGzF1TMwR5WVLyOVAliqPMBaE9E2nEr/07nFBQI9Sy6DyhAMBzREy6kCAOWT
CAzFLxEarjRqM/hEpBA2rDK2Y43rxjSyp0SrjDdYAUx4DAIMY1rzZ0dlGlrI7Hk3B+wxU8Xlr8k+
bAhBDILWe5cqF9GvSvoSzoTuvZHtOpFxsxMRSYopkYrDLVtRpSyaA/4/pBIBkY2kSexLnzzGoHTF
G0N87wRogPeUMQLsTNJsj3bBXzLEaZ9ale9ojjZdlJmbd6NKf8xUDmQeVvYDUitxomdNXusiSt74
RnFvqgxJSEvZjjdbdUpVwmR1C5vEWe0e4saUl9ruhvu8QwCVxyqgEu+ne50TgsvRSpocK+YUHz10
4A8+WZhIq3gkdtnEQHihgDiHwgnNc+/BdxoAEr5M0L5hNTPcJDhkiI8dNcATk7jxkW1MdQCkUqzZ
NftvpcrebAanu+vs0gdh2xPQqt9iOoVK7LRVdmeFOHvbST1c6XgJN01Nxqc9IDVl5DG/kLhHAqiv
7THn5/uOcNBMpYSi9dYXIyXyWhAhahAlOtv6rLIeFlVKyijGTliNKnlUrdIWhV3hWRDtsIUwQpJ0
pE8rObGfhRXR3+n1GG8yC0mfU1jjQ1LaNVoWb4Yo1psPgUpB7VUeKkHMwwMXJDhTTPcvUuWmItAG
D9uSpVqqVNXxlq96i1rNVeoqA/Bsy9fO06KN9QYKQ/Vlak63lR4kyMUU6OZ6ciYL227TXWgOkawN
Kuc1MVgCeTAIfpBGqHLJVCLsrKMG9A3xVE3pcMQicakG3N2GSpI1PJ5/SQm+mW5Bs7rKnMXIrB/9
LvVPWpkbD/M0EAkk2tm/Z2uMLJro2uwWYit4UA89kJiVtHyUfMHYTfs4FeGhKsmVDz3SEbgYxbEn
1RpFGEeNyszVSFk6GLUlHh16E4P8Jy1YtnjMP6Nb5O54i9/tVRJvqzJ5U8elPSSglXcJY5+6NH5P
6Cj2GTXytrbi+Ek0SXsN3Q5Esoq71PqazEcs2/W3lny202S78jiopOCq7BmOq/TgLC4xsfP0uGz5
x/lrvgUNpyGZw0VhjwctzAfSNsVwQs5tHozMKDZeXNfPYLrbC1lsARlDg9ya8RQRJthXb47flx9e
V7g/5jgFeObQzqPYD7/GdEqAL0mf4rzajOhS7+apxb0u8OhrpbKW+1qrkWBEQslCbzPmBUhrM3rI
0aQLklpyyCKrZrRQdGuECeXes3OVG+6QdlNYot6QxlG/eGHhOGsi3PIPMwy9bVFPwZFRmXc3eAXy
TJjsDL08ZF8pGl8WLLxPMqvLTp2lY57w8vaYiplUV68tD3WpoTDu4AolVmqfRnZc6EqK/gV9DZ6b
yh/I+bA0cJYttNaHignVvdT8+bvONpssvD5W6Guu8R0jHA0xi+28oYvk6Em10gIvryWFOrQrpLQy
wH+se+XZTQvzFOtBwbHEfiH1YEOr7CRv63YlqZlY9mMUuL6GSpj5zhI9r/ee6tBF9Nh8R+VYHrWw
sB+9UNm29cm8Hzvf4hicjctcS30ZBgUpnHZ7qDNTAKXqUSUX8cpPauOIlDtBiYKQoImK8lKGhvnN
pWFYT66Wbeq6VLiOpKgUHm/tObwcszSG+lCaFQwCvX1wgfF8QoJlRCW6ijnhOPiPwk7gzNatsdGj
RjxhQoos0qAr65IGNTtuY5j8hywsYGtFvGRH3bz3gmbkawfhcKx1cewsB/h6Z3hrEWv1dwTvBjOw
efR3QVe7O1cjY6nNWrIrg7m9VDKrLulc1TvcXsaOMWxBaBmWi3EkcGgbiMZ9oRYwwK76CX04E8If
HmHAb3lJO0x806tdZ+5aS/wH02haIIal3lF3YG5CKDwSrJ10CfroqtH2TmG0BPoArw94adfyM64a
+C1tHIwHg2Bnu+T1NqdeyK1ptSCmUvtCQmG6ETEv656lYbIZGSMmK7OW1B8Th/DJDPt6hZnludCb
/DzAUSCNR+oWKqiZEEhEvThx2PlrsPp3Bqv7sytcFsiEnb1RoDntUks8CpA52PVVEixDBIYwakQj
UmLGQ7Hkzs4uY1kN0bKxpsRmZ1VSvg7tTBZPOl6dpiFxVTIhdvS5OHcpy3KWa07DzeG7XxS+0Rox
oLEFYSOPnmtQTE9UqrBEDH18HPQs/KYTLvTNMqgBiTWVFslndX2u0s6/k6lDtRLawV53KxzzoZ6Y
MCdK3mAIydnQ9kMjV1NoJoek833mHIOIe0pMn+ij2gjb7yb2rxbcZNrNwqsW0G/ug4GgoqnzmgPE
sfqBmFDziCRkPvl1I1Z+GrOUCuvpEBWjXIcU/q/S8e4Sy3kKHYTvvQEQKrYFn9I65KkrfmflaDBQ
J4qyDhyAwG7uvBKGB9ZGI7ZuGCMT7YbWritTvjfR/IHH8MGrAIr4Ecg8lmfRoq1jfVl2xbjVTQ1/
Bt6GiRbhLs5ETvAqKXE4azc9UuCl3/o3kl5A6FF8HqzYPLa29SYUJWoaIBCEKVFGaeoxeMwzLkw+
+ossx3FA+kaFRAcLITwac0MM0CYKi/ngxcM5mi3jGbpulpKdWeZL3YGqghAQeKc2SUZ1ADBkOTMl
tPKt6yGzhQpjvs2aQZRwLAlow0DlB7Z7npwohZhE5FjB7feute7acO3gKe9aZ1dhfWKK3upHFee7
GkLmstJreM21UbyPK9fbzG0HJBCo33KG/LHAnheeCi3jzZ4m89nW+XBsLdax7HL6BCAxS6diMvKn
jvn/0L7977YUCYmJIZ8lEqsfUzWOf8oyigJrJurdi/dJjnoBOjWb90Z6nNJgTJxHSy/oSKmlGI1A
m/8b4d2vevx/qB4NNCAkY2HP/uWHk2DQOGyi472YyuZTJk1xX8VZhNPFT69//Tl/VTfzo+DX8m/V
/Xqu2or9+XPGdZw4rHn5URVTN2Z23pwtijksv//1z/lfunr1g9CH+AwcdBZCzi+yupT8B6tJ3XDf
V8G8wXxm7Z0ezn9WxN2lbtLUvx/8SI/50vP3SsneOVXIf9CCSDXXQcRvd/uV/rtf/bv9KqE+SDL+
/fzojni69/anDes//sgfG1brNxtLAtmlKHQZAQm2nH8oh3XjN0AaButS8BJqiPSvLSuy8z8mSBCX
MRaoxC7T4WZAQfIfTJCE9csUh60q7Af8UcKxsUg4v2Lx66DzOCIn5y43Kk8smVkJMJRiZLi67Fut
AnTuIlbgMElJNQ9OZTGzwiGzgxzLleyYTj1mZa1r+aFtHbOZ1hq6HItE7oCJ6LI3B2L63BqG+SmN
LASzm7wZcms8dXoaRxO1ocspZrX0HOGmawlDvR+suv1Mw/EB7o8bLIWhuUsrclxaIN+HrVqHK8Q6
86PmSSQPkrxk0Ow+cYokufskQm0N0cBQLSaR2cuk1Rtt4TYM/XZZjU/rgio3fWzqwH9rM2nyZmZp
IxjSDkl1x7kdBUSi+68aXpqSHzE7cj0hmIq3Ff4ftKNzka9BjHnnFI7+W43KYaX55fh7PFhsLOzO
3VBmo+FtIkT9yWBMnPpmRDBgV2pgoWSe7ZM+i353Wrt+NVrTIPiijP3P0vc+s2k+eXqDSxOf17zn
P4LjgMH8HNuxvsMOL4hAMf3lRBQl/4zp1w99UkToKOZZX3UjZLkFS1w/X7B6ZaRuBSQNjMIedggN
c6IF+/aZAyvYG808biUN4oPfGvOBxUqNKCVm8bkIGPiDEUjiL+4H+yFJATytmdpp5ygvvO1kO6i1
ykncs2wvniLpssL1eopYyep9mEJqZbyoxtEib+hFQ18NnKo2zHNphYpyzbo1d113P8RColG152EV
9wQECgNUNPoug0Y0mDYmaQaYKRKo3Uie5O/anFc0RZm2JUBd7i30M596brj7qBXVo9Tn4NRrdXlf
amGf403U5vPUS2cQYAQHq0PWwuv9H//dpeyho6NmG0jjiS/Mb9ixwbeK5pBUWI6LQx60Y1au3C6o
E39jNNoVO5U36pQjCKrkGnmZ0D//e6L+Pyfy6n33709UNZEv++bXcbz6Q3+M4/3f8E5AjFbKlD8R
6H1iR5BT4kBSWpY/BCv6b7j0hIOExAM4xaD+z0crsnXw0vwDKDJRs/8nRyvty88DclBBVOSUBlAy
lFHkVzdYI6C/9YgID9LWp5oNV+gMCMyTwJhR+lvDmx7mLttmu7zG1Vyc5MggpfZyXSxhtyVrkLn6
Y9Klcl6zm07PEW0j+BeNJBLfbUgfi80DNmqxgL2AqsD2JmbJZeBbyMzS0QVSYUd3QzaW93oIf3dR
Gtk9Zsj0ohav21z3o22AtmFrITHolmGuBSsEa85WxlGzT5mZH3uYWysJUUdbmmQkNYt89Iw7d+K8
S8Gh0gm4uHwRvOEf1oxuNxRlcC1rC/NlrI3Tvtc/0lSW726aeUeZmgEd7+Sh/bfYeY2DM21QIDjn
MZi8cC1wrSDzQFS4V+7THRtc7XOkXfnhVrEPIa3w9sgFmu/hxCoRRUIlLlCqe9ADZnMFMDkektTV
MXtR6+ZL8sO+JzoEx8ROJHTpysR5PYfOKQQEfNdWUvtkbsghjTDbOCHELvZzXL8OjJOvxLc62zTy
hm9R1XWPvt/B1c8wqnxYgRu+Nhol17K3LRQgmGV7EKjIBeEdkP6V4iA29Jj5B3txd2nwMnqv0bD3
jHLHF8dwDC5ykX2w7ux2voy7jWCu9Cl1wshjvTkTcGQf0qarDqRtybsqyIZlYbvtxp281lgBuZwR
Uc89aW2M1dJXP/bZXHOVev62XGtZDpjZ3YxoBbZJ7vBBJz+BGBr090Il/Sa2Hm2x4GZPZWFFL2kX
03Gw6wCsOE9g33JGZmKlBbbOPt4wU6in3Hv7umEX3aOKBI5Ykl+8mMUQbCKlpM3CmQXACDiXdsyk
RbX9afwRJwa79IrwFJROWSu3VRIVl9hBNWDVs3sPt5msLtQuCwPF1LECeIJdyBTzEnQiBDdms+68
oK8Pn+GnGPhmmP591NNIjhdbAWfrZrzYgbHkO1nJ0F0NIPmgpxfiJHPbfwiDGVimp63R1ZPsynvG
aexTnPnDJ+LidK/z3l+OiaZFq6Ht5y3ClulOys5pN4nfFd/8MgletdwJtUNQG3Wy9gtXfNWj3vYk
v4wIithOB+thTsVbxwKqWIZF3T+Ivqh/B+5Oqkw1ive0MRsCVeZuvraji+bCMtMRAZlHjx2j2kIy
ZTJdZZWu2MSBMJ/NQY/uSI20PnoWOQWaGm7apdswQEd95RHko7vH1CZLhV1F6j+heALeOKNuxpKN
RipbMSArNx7umnc7jPxvrNI+NH1UYUeNCUjEmb/bVTMzPBGiLBBwB8VrEvatWGZNgieJuWnz1rlW
w2rCTao99PtulWsDE4SOjeA9Qq1uVXXNAxsdn8FwzPMMSKRWMi1r7WWVxFfPZkkOqEYmQKUq+RrK
7djVB/Dg7sHWya+h8ko8roOVbMu+50RrTNZzGvGY2yGz4iuccRvKoJ5OlFddYOFybvQ3g1DDtbQ4
TAeoKOCYC0w1TOyqbI8woT4RbAb+3i/N7tp4MaEXAWLuF7gXKK9qgRSPwyzoCcickKV72lj9ztqr
anaWxswJAAB5xYzp27PVNtpnabtIdeEwD0z0Zo3DRcISKJlXAfMgbnSjeVH9OziC8XudReMbaZXi
aDKSytdYv0meMO25CZY+Uj0mBH6QrjyjIr05GsHrw4oxlkKvHsMUHSPN6XjXqDV/juh4BYrxYCkJ
wKDEAL6SBQxKIJAoqUAprHo7oR5g/NhvWyUoiG/agvamM8AEVyxJ4XHWtZIhyJsiYVDihFLJFPSb
YiFT4oVJIUT6OwvuKLIGqxmr+EXe9A4zYw7ED96cMntcRP8QRvQ3lUQwsXQx/MQ5i2QMNmDmGyiM
mX51hBteOBYnBhyp3DOceLatorjWeJevvWgDEvDiJHgesQi8muRi9QvMAeMhmsP0mVRSg0Nq5LHy
cL9fCAnML7CYGDeHOYKxOLVOfpgDkB2Iak/sJuTY5m23nPIZgrzh95vac2ume7AjUVHq3SszP22D
fygCl5xhwxoTVvILOgPCTgS/vpwoUjFbBHLRyC54tLzG2SeIMZ7wD3ukO6Fw/G6qQhKYDTUlSM/y
ngVHcPLLipJTFZ8hH/yzUgXpODc2oFJ0NpMqVxk3UrlKmPq7UJA+kFizsZhE16/rLujX6a3u7VUJ
jHSfIhZTGYyW5IIJuFnYqlwObpUz9uLgOkrCvJzEODZTGZbLQhXasyq5Q1V8q+v51KiC3E8kuz5L
c7dU89qZ3Eoqd8MY7QeiJ6KvgHZqF08aNvGmnip+jt7NiMVpAoy0Gbf+7Pv7QbUITVDmFzaWw47n
iQ4CUznpTbe+ApMzPYa8tRu3zqNXTch460da1ZrQ+wpiRWlXkjqzzr1qYYizmvYtL0YMjsZ4Kuh0
dNXyiFv3Y6tGKFYtkf4/7J1Jl9vWuUX/yltvDi80F93gTUiwLbJ6lVQ1waoqWeibix749W9f2kmk
cizH80yy4sQSSRC8+Jpz9hnD7NCqNqm8dEzJpXuKL52UwMO4tnTd3SZDmt2GquWiIxuDrDOcZ1M1
ZKZqzbpYHZrjpWNbxhGWEN4Ns3oo6ekSswQ/OsReXF/JS9cHltuEjMqQ7zlRbSGRyK28dS7dogVs
nLhzx8nsNVE1Uj+ZDvT8Xf1bq4nqiL6TBz9XnsC4mZYyCibf8uatpZrV2ifWJsajE0LzVakSZpVe
dU1O4njfafEXu7bs5NV0+ImvZzPT7U0zLk1ENhnSxMU5G8bEQHJXRbCj+iO3rNlkR9w/TFxfZbg8
U/ZOnzNyP9/TYTKf/K53Hw0Z1Ucpk0dZuvOmsGRxQFBFGG8P68OtpnsnX5AO999EEr+mnfPswpZ9
s6qWCgJlHx4Au392fVjjjuvlt9IgukwU2okvx1QMBzApWSe/WQspkKuulhlrQ2l5uAD6BMgCE847
CwfCvO57EctV3fgRnCunbzbFYi53MWuBhD4Y0L+2+m/39J90T8x/PGZDf949XRG+079n848Tqcsf
+kf3pMK7ffRKvpLof9c+ef4vNlYAhlQoljzlcv9nE2X5vxgqy0rXdUiRpqFSc/41n8JSwFTJRh/l
wEb5W6p/4+OM1cOPjVPeRvyPO5Sx7o8zVrRHceMtxN4NQBAQgGBbuhuNaGFCQAZhIl3/OIC/U81G
fek74A374MGHbt+47FUtacid3iWwpb+7jP9myG2bfMYf9E8eojCHrk6nZheG/hFuwV51tjNwtgeX
+JjqxkcGe+OBIxpXjJjsbEWW80PCeSw2CVurLrJ89OTsMgvkyuFXryyNu9awPdls6tkt3M/E/EXX
cyxHHsaMNZ6LOO6cZpMP9bJFCqt5QW7jwrwpWttrtUA4nebtAbYvgdCzsosDIx8F9VIl3Kz5RMUb
IVzU8FqDw8nlvRe2oL3QQSL80LLSPxJuY4CwntPN1PiPzMZiwgj80bNuIYT0FMB1jslHojPhNM2j
VT+m8q3ATQYR3YItPYimTtc8uhCceFSkxnYIzTg/duRgZBzT7HRWaW+JO3aSoJmjcQv58gkAm4bK
YWmOQHKMXd9b7XvCwvLGL+wpIJ39yogqtvpOiw4nmW4Nf0Ki1QKtwqc7HCdt0BD1LMyrcqqQayms
+VRGMUu6NKNj6Y3qXhP+MynMZPsmbVUFS5bHXzBT1u5K7+2RvW2l3S09pQoetbndjMkwnQgvftBB
vd00M5ivaaHapx5BKrX1Mk28NS1QXL+OkUTYNtrR3tIT5173svqeZFBrXYQecpFhcfGAW+z/zoiK
W+tTGrHgm7C03yyL3CAzN7fSz8fHWdcRfeB5PExObe/yvCi3tYtOZW00DqAmDATKO2mwVA3rjcuy
cWUtukSbwEYeF8C45qh37rjq8or9cLNN4SEcI5zVR4Q83jE2WA0GYannX/Aot4+Vi+xcjgbM8KzX
MDu0yXJtleZ0ot1wv0Zu7GwFO94NDmkAC+bQwR8amo2ZVJ2Ds30Q20WOlN2QguPXjNt+xcp2Wnfc
aauFmdm97g7jNRXWcGWPbb+hhPd3Qsb5ptOWEiVRYvGBOgtzd9EQyomiL2qSmFuaIIhwOyIQnqmX
hPPF5i9Za1POJNKjbbB9uigzSslpT+f5V5P0kbMkDifwpom6vRYDmVf4B56ZY8J8CN3YOJiXqOBq
VLHByyVCmPkl9SVB10QLm5eYYYQoRA7rKn04vwQROyqT2EY65K7EJal4IrPYr+3KJl1Ezw+DuzTt
qjDy+ERgXnmF4I+rJ/pwWYtBOVGGeJvPpp2uyAsT7/Swo0OQ0tg8LmNdnvxcbVhrYuopOslZtlTi
sukl6td1CWKOmNYOO0WHygMsDOOdW+qJvXOzyjlkXfPJj8flzR2WaROOrTj4KvEZOwoOn1rlQHMS
js8EAhAOXXsqKLq4hEZnlwBpZpqESVcqV7oMXTagtlRx0xXizuHaKkihxoMJtZ01JOHUxiWoegZt
ZpIoTn51dYmyRgKD0yjFeHJjX8Kuh4Tc6zZHkeQ0hCYwBInhmM1lm98AP6h3mPRB3iHhJkS7YUxL
Dj2Og2uH4+CqiP1cNbx58cQYWcKlt7pqM5HeccakLU8aLLw2cC2p3yReWj26DKDzwOgTEegV/7/D
PepvGmOOj+S9N2fiTuPbxBxRNBXYKT14GEjV+yIoalKqOZ45fNEEZu9phNsRJ01SQiyxGue2TeZc
+0Ky1zKuJyn9e9MavWTj6kUkVlFNU7YVeuH/2iyWPM6FMT5HXoxghvnHvdENcBfIxVg0R4Nj2Ffx
XjfTARmjjMVV7BMp5o7kgdlWtaQrQJPxHXRd83MFY/TenafC2LeAfm6FEHW9YkyQ5WvIne1LhSqQ
fp5cDHvXqNgykHDZayx9ScSCMcHV8oqhWkXGaJPuaHkZEfBUpCBUOi0L7KHl5UgiHr5xvvv3iElR
WrpO+wKylJeIfB08JWfzNp2t9NBk5rSRoy03nA3TIXWz8MuQDQb/wU3HOc+PPCMpBn1XhQelVzlV
PtN3zCS2dE9GZGMfdWczJnugNeSR8Q/N6kA3dNWBG7h8bVjG46uCXQymG5RG5mC4mzZ23pEkjMHo
obzI5GQ9JchZDimF/a1vxQTSW8W7KVtUFZhLrZtJq09pyNG/2PkJtFf4PrXwUVxGE46tkTZjFEQx
62W9qWuRXs92xXCTfoI/sEzmDc59vtMx8cZruwdnYJq9GRQxrVnf8B9w3LWXdMzkXUM+w5Wwpcix
qsfls7CZGg1W3l5loKCCpqimnapL3nItq965S21SLGc34ehI3cHbQAeOT201IJHjcdpcWZ5ETGdb
MVA/o11cselnbRbBWDS+tZ0bQraCaen1JyftunIjHZm9iQ5F9Wb2S0vZbCKS79JWw4Hd5R10PS92
RzaRKC93dZYM2rof9OY5aePsiTk4X1f8qol0uNGwFN/PuvOQTaG9S9OC1ApLNO5CpE+M9iEZHTpp
Cq+bMCvFgRKrepmrsNt20ImDqtP5vkjsIv5XY/76YtmgHjU9Gb6aJKuqmCKhHqJNcfZka5xajjN+
Re28YEEazGFF3UXAKeQ/LBkMy7NX7KXPrWYQhzUbllBNeX1MvVBzsbh5GkY3sgfjNdEvJOtolSzu
x1jvrqs0ne+EYyQPUz7oVuC0Bk62Jgct27fI8XzSSCmK7HNsV3GAQsY0T0o0awf+1LYqRjCxEB8U
gmBAlQQWYuN6H9NJvnm+rHFlICc7uqIdVYFpm7QrKeC02Vg6sWrGZjl4KfRa5kq9c+oKfRErJAU9
Hb22uKxH03RgprDYRIFwjqTrphQO/CQ/bT6bKSL2u8EShdj1PPShqVQQ/dGYCkJnq9w5DmnDk4AR
cCn3meR6BhOY/5BHq6D+qnLLe5gmQwSVdLWW+2t2rrwm46CNfaveeZWTp2d0MdmEKMtl9lF601Nj
+vLesEb3RRJbs6suY+4MbtC7MELE6hAiyp1sG+ypiA+ZmMfGwiNDunFPPCxjdTAwcXEELuHfEPFW
f/NLgLrrXI/0Q+2lTOnhB2vI8XoCtaaeSKnuyvFmExvmf9u6/6StM3VSBb7rR/4AKDu/Iol6Lb9+
39b9/od+b+tc+xddKCQlrGO6NALv/yk0cP1fsFDD2beRquFE/tdyjL4OVZKnyPTIAdR67F99nXtJ
2TBoEiGVKPbZ31mOfVAd8PKoHHR6J1gXvolj5se2jsRU+IRxBvIhMsCLhIMoSYuM5k8FD7d1FNn2
X7RrH/tIXtC1XA+XCu/cQ2jw4wt2uR9TiTrznkjK5k7XBihRBELtvvsS/k1T+LEl5FUYcOFQR5mK
WOdjt9rZrQ5gPp72cwf/HPqrvENvRwA9P+aNro054uZmDIRMNbUPmD79/OVtX+FBfvDk0C3rJvw3
Ae6Sa8ty83tJEjNa9Giz2+05WvJpO43xss1dnDhwizzMgXFzxKjZtIBE3MIgX8kK2UbUiUb4oW7Z
DygzWeBUoTefOQ2BjUaGyFfeMmZbhlT8u3k1I7+22IUNWDtT/At22KJ36Lx5/oYdLyOJx8sQr8OQ
itEAUJE78shSSX6BeD3vwoGwJ8J7jBmRgrRwAAEdWPa6nIxHolDq62bMjEdzIs+zs/rwODpt/eoV
5HSveaDOhAPxiYg6GJ7yvpx3bYphJzTALTdhgnxlVPaimASAlziZ62fQvvzBEa3/qZUIptBWhff+
4BaM1ttarw5cKlirEetgYx0CN7B2ikPVrnSX5GwXK8vjXEE8ZuMZ39hyUdYlH0lbHiFrrt2kuavy
gUfR4NK0szxBokwAyXnBr7AP9WIMwHg0x6w35V1bdCBrendCd2fkB9kxyDasbnhK9WJ4kuniPPDt
mJulhUddmmgYewaB73MFzyxCeL9OSMT9FHdh9Uz7xDcj61LfO6PPb2jE3WV1pX9yaDX3GEjnb2Nf
z5/0hj8ys+n67GBIPYUTZGUZdcZjny/t57QbyxMrP/9UFB5XBBGISOHijOQSOP2CVDTPazwuELzH
cjA3lQS2UDvsQHqDVLjURF8nQv4xygx4L1EKQWePTLtdoV2UlGb8nMktmXcO091DxfLjenbrkQdG
msdBa5UNsmynzQ91C7qaEC0cX8i88eKE2T0s8WzrsGC5BjmnHqbR8Gum85AqoaFsmbvrHBpG9ZJM
cnhiGowXTA78VcrQVdONq/WAd/JHrb4OGYSDK5T2jRbpw1r4fBZHpP6q8+NiPWQZt+LFN2ZkybxD
BSNuIsE3EQ6+hyEcRnqh8QAP8rrnumZR/eqSkLbmMZ3COsY2VpLcHIb3jh7Kd1Coy7kc4/mTOcK4
LSt+DHkjsy0jl+4r+Hw41gIhbBzly9bQuLZtxPeIJIhLrW7RvJyGX2dGCNslm1HvyYVvQjgVG0qD
+59Hf/2cRygq4co9j1rbH2MYwjeR903vfX1g7w65ftWGBEPGrf2imzMyozDsnyKTe3Nl4gvbmYq5
LET+wjZ7+BVmRn0N5YmbcgJzNMV8UY6rdeCyBJTiwhI3fjfaNz044ccyaevn3naqF60T3K0urr/G
DKsXq7Bn8qA1+2HyZsTCSKPZBpRj9Rp5LqFuCa4P4BNY6S4fzov5EbRo8++nuS67YMJkfx69uf1c
txola9UZ3mqIuD4GZv/jlKfF2hn1BDI+kJL1RNbuzp4SAJbYg/maCizK65lO+gt8RP+U6rNrbWCJ
yOvOMSPPhFzuY317Hsj76N6TphfPiVEWWbQfrKUUe6LItHLDgmHsz7McQ5soSqsX91Y2szoU0/wJ
dSeYbEchOAyifAPMWpCvdN2m2zNNlMvVBGJs6MvrvqJh6bjDjkLLbju9BSeh5/ea3V+Loi7Yzbr2
3dIoPaw7WdcM3h9CO7wuNGkFCL2jPXkd8aEws09ok40N1XC/6QXSZ6/owfD0X7PYLA5aGZG/KuJD
vMADL42+PlWU35vcHqZ1G0YdpMhWbqKkvWIxFW4ZRRhHQJd+YMyNu87xEAQ4zJJrQcbdmc3rMK/J
WDw6qXckDkAGSU5O26r2Q3lANMNUQpvEWuqRvSoS0hxXRZ5/i2rs6Sw6MRX0LTG6qKjuZyAtG7PQ
/Ks0jupz66Tj1on5wcqUmEQy5MhU8L3osMx8kaYx6Ae91AYSwskarAm33lSjhitcsQGG0kh3se7W
a1Mr9KvRTvx9HxkPVgGWwWGWeSILwco3Jtf+va3H0Vnb0teWFTQGZbQmSGNv1om7RdD4gjalOfVA
5wno1ftDNPpGQF2ANMwOlXc7bMF+jf0uwlxB9AWL7e0Q85hTC+9NWjry3rIdA8NF1m6joUe8GGca
U0FvevHsgUmHlU1X5RShrs+z7NnX8NOtncmZIVMOybh2HRx84HIAeA3CQohqyTuqM4T7yhpxqDlf
9WDmEIlXMqvNlmVZWJ1F3tZXrAAXRrW6eTCnug2sOOZX1W4ibIarsuIOnDvDPtZOM31aRosOJEXz
4LUlfq/AGrTqyFhxea1z3T6Yc7E81gATI1pRH2qk7R8K8rBvk8xaggFT7jFjIrR2zLzgdiceNh9p
RFvBINdtBUE25G+gk2/GYqUTYC21odho8GbJbyb4F0Zj+sV1wHl7+jwyVJyHVe8P2pZZYAWLobjL
wYKu20QfD0liTYSqDEMQaZH/lHuRscsT7njHquKDN0y0SGMozpVfwaInkvy+6CbMiXJhb+k1Q76i
MY8F/XJT/CoiTHHh4p58FrsOWMixAR1gm3ZQiDg7g4UzDkhBXMnE2mmucgg6zz3dGZhHm2RzRpS0
92oZ7a1ToGG/1kVR5IzLS2fC+KcPh4XhEKYArdn1CEufx7wnlXRBW3ASXdS+F1bqKJcrTi3o/BBs
7Gd/0PX9GGdtsmJw0sLNh9a9dWN7eKtSAyNrPqq6oJZ309TlhCgin9p4jIaumH8SnxyivwAcYBYx
Js+hORHIVYk14SUtg/nKTvaoGMIWokdl38xmmOyJVa7fzJpwnDVgv0x9N9C1VImUphbPodxY0P+0
TCNNHALAD7uvuAXHeh2NKhRHz5QXu+YU/lbmOZnxsxbe15mrfgMZZYIL2jUMIlvBSWMSk2Rc2zdL
kmj3GitxPi65D9uePtMLIuTPGKdmkJZ4iuq3qe6Xmr0wX5JBsOZq7qkKfyu+ZIJhkJjO9mud4twO
TBgb1MkFNtfVNJMzShnqPEz0xi2JRRIpu8lEKsBzlB/wH5SnvFmWvdBb8jgqNJpdk+I2L5Dkh0Fs
tzzc/aLS7svI758S04puUBTg57ad+pqEUPUufIkgQUEhsc6oQ3kp5m8dEeKE1RCXe/ClNG45Bsuv
Vu1UQ6Ah4+OpPXBUwpwJVwV8lmBWBl4FNH6KE7zauN01/A0XS36EUu5KR168QSc3BlHEs7yi2HpG
bEoEw6zKX9+pnt1uyg9my0ewImE8YsCcv3lzneymJaw2ZZr4pD6MoPtmOyQLu6qt/JDR6f+GTvvz
REDjj02Ea5keTSPNDASvj7pFOCVWnc9js58kZwlzrTrdyALpdTWTVlUD1g38GDPXYM7DPvFgP2qG
+eqlNXnxkbVJbB5Tmj1GQV8X1XloTPE8gO07J4uVXel6Yb3gao6ncx3V5XDVxLF3CMlvDZgxLNtk
4kIWfIX7yE/sG53ojg2DCuoEBa7mwb1sSxykVyKmimpkPwYEMfZPpui1+yFqnAfNdudvBZmnNohM
gZLMarm3HeFQb4xVfugh7ByUypAGxiMiW0QZ/xKiCr76Jir4BVxqJIgK8q7MpfoufVUuZRRS7KiY
wbD6eUDHVW/gCCJrxyNySvGBbgeDVo9U3uEpQkcTM7M085fGQlJ57PLFZUgUjhEXKcHapk141zd2
lMX6uq+tMNfgtzCRbda22WmtCPhApflUhcJYtdJi9e46Sx4dGPYlAcwa/oeQQioMdHhdzjpMHGb5
xJ4iz/SBxXx1cwtylhippRo9xiLL9oxPHJU+Y3ZufqiEEyUUKV46qkiKK9oYfU/Xw63tifaznlLi
myVS/9bWoDIUfg2iuaFg9mJRv81pT4hWQqg6dm8vIAlt2YdLRyEXl07/1CX5i9uohNrJqJ+9MSeI
tYEbSzHPtfMzJuzHZeHi82PX7pvUtC4emrsM3s4uxG5frhnh5/ipvep1wjD7KmBRUWflJrgVcp62
Fha0WzoA7zRLnZn0SLPl5CVI3YIakomZddCnrnrpVE1NBgyZTUXHcFIsOd7wOR/7rbFEuOdbMOUp
ikDM8Il7V1hN/6QbvbkxS7N6tdFU7XRBZVsbdC1BUy788roKdK+Z0shLmdfXHYNfpqRiql67sPQC
y+uoSEPBBHddoXAc9q3el4SaGPyfsI3le1VOXJUC53BLVb6yAXvtgQHIo6wl0xC2ZQDXfHV0xUW6
bO0Zi1ZemPILYC6PyCPaW+bS/iky6uaYzG55cpDl7BoOrl2pmzaBNOXwBMOStmokeAE3MUWIR5lf
ZPTlLhndn7yxXL55/EqXTeIt9TMYqNthcuu3ru9oc3QbAFAp2HiNsbNGDGCvS00VLOpdT3iwjRXU
MG6MKlffgTXmB0P9VCc6WR4k2RjUNKkvtpyQRDVF6qxSHZ42Zmo6UtU0JJNO4xRPQt4RX8Y3UxE0
//VyBtZlRMYTPfbMvN3jVqXYoJ+2HC6VagYr0tCvlsiZz9PAVONyG5pqy8rtLfX9dCE2R3SaVjvL
u0unDXcM5AUKzLUDKQM3O91HDi4CjwEPshxu+akPGdpe2jIN6M5bJyQdBYMeLr0aoEDPnLdZTSMO
V+IbmoT5vPBzK9fTHPEQGCdmEB4wk42O+f1e1gLFMIWHT33Io7CvMI7KfmAoAkx1gc7JSnFa+EQw
qkya54WfYMWu89EMnZixC4Kgdd1r1YYpMm0kA5NxUxb8YqKpsG/MzLEfeNDo6BOdof3cpajAOMMy
+WVhvJ+vYBXK9wj7CcC0bv5UavzMQ7PJD5pqauEscqzRSYXHS4eMzQXAXQv3AnWZQrAWJk22XDji
LIOXv/TNLmFV5yljZlZWMQlNuvarDi6EMsUFhrrOCx5SstXht11uzYSREdtZ4BEKoYHUEB9eBStB
Qo0/eV0rv1QGswujjZhl9KpGGSHhYcmkwl1HesfhDk3ma5X71Qt4URDguvRJFeecrcaYSxizxHzX
S8C/Y5ahZGgpWzetQ1nEPtgnMKe4RQbHMdyGVXuVtzmTID9xqTWyhj/ud3K+UsLJx1hNG0eZqqcA
hfGL4XFLiKVvv/YyrF5jI4xu3B4RBoZm7p8MGR0lJkMgh48TqqnDpazwfCZTUVZm9wXr7O0ieExi
pjIfL88GA7f2sfcw5bkc+fT7DK+QuIobN9JY4YGD8U4SBd8ZSo75ODYzPONCMLeoqEAEbcg6dlLA
Cg74yaTni/QZzB3mXCcW3OpLcuMpHgr1HaAkrp9baLP1ljhGiqLR4DQT0fA0j5QndcZcRK9y81Er
CPIOOce+VK1XP5OSGx7pG531ZRQzdAyLPLMOjxEOoyCdGGQQykA6BOVlto08gh5kNS2o2SgyL9w1
dPhMn/BJo2jTh+qF/QyDwZFZnZWElGgdBYvlEK5nMtRTmAJunssxO7lcDTr2+arBJvSZbgrDLdQA
Vce1E91/Y4EEoln+xGZw2Wvsquf1wMb9xgUjscMI3K4y3+Kp5Qw1tbXFvabp4f00MqcAl4ZFs2Sd
dySZh+GNOiotAms2TWZlgLFNyGrEwDNtwGZsgZOh3KVV5TfZMBUsO3c+o58yHi3p9r+6JQAhZIAY
PWXGDzdRcHlcTfVbW6CCXsl2weCFxHGV1KRZEOX5Mgw2V21xAQixEeenMuDzpvPE+loOo/xCVZKK
VT/NePSBh/jULb2dXI+aziFL7NzwVFWhtWYVTzJfzxc+I7A9ZyajzMs/Xn6Yc5HyiNGMHirPyDO1
5qFyKJduup1MLOxFnBLajhV9YyVCHiPX5pAZbO5s/GKLzUIVwnjtLFTCoztvJzKae7FUzga6HJ9P
Dejctn4RJh3BqKqAeZKUwvjw+h0NHJ94PLh5Ou57TzwjY4yxBjIBBzVdb3rb5cVIm/OOXdhVvyn/
/rRcNf7gNmbk7SoerAvHGL+PWjV85zbuK1jdoPa7PaLGFjbx0ts3rgMWMurG8DgLjrbYp/juItIo
3Kgq0GrY1n6hOIDRQO9SsthvrWG+KsdafkG6KG4GPA+fOBKW7c8H9Ab7kz/M5z2DcCwHSRsBth/e
rIc22h00q91rCV78oS2dhxnGy1o3Upb3PY0J0woKUWOgKco6QhB1RhlHYmKr17RmtHr5sn/+pj6S
89kTsLU2BUZtj93OH3YjUBBoI5Ko3RdIRrnRfAsjEFZJ+HsaRBqw1QHd+7KZLYvZRNgzZEvJaN7B
IaeTE0OGX4abylIIb7LJqq9sR907D37RhlOWwlBrKsIuO1sLfv7O/02nwm768u27uLkYlvz43bPn
zKoo0rp9pJnyiPMpV5N7qkeJBPouV8NXZBsk7HImvrQzTxFCQegL+87+fffyX0f0XzmifdPjLv9z
Beqp6kmweC1fv99VGr/9qX9IUL1faFJM3wciLS4q1H/uKn2h1pjs7VzP4Xdz+Yr/gdWzfkF0adIb
e+yI8PmxMf1dhGryF/qIXNnFmezkLPZkf8MkbX1YHhqsLwRLPdDYiFpdOMU/3mbJ3IwAlozmgF3A
9YI01Yx7PZYgOTDebSuZeh3gc3j6reaGj4TrNIe5KMOj1iQ8UpEqwaR2kYnDhdhlpPMp+UterDwv
0x69ukDoxCQlgb7W+WsjTicqb9JX0oZ0komK9EkQFrQB1JOAGEFPX+kinoLSdAcaYDpGtlzo97sC
twGSCeehL/vpL9JZPuxruQKcC6awuQxqv/kRdZCqcVtFE39AFTfdQoD2d8ir/LXZdepz8b6/u0Vu
f9tY/k/ZF7dVUnbt//0vK+jvz8nL6+FLZ5HKnhg60Yd1rUm9OoHiqA+kApP+HOVvimmr0nJ+J2H+
6fPjg0lTvRLTDoM9OCcyQMcPJ/LSO8QPUPsAD0emaqI0QfRmazuP1d3DYOZiR3BreP+3Px44B7LE
HW4mJi3q43/3zEp1xjwFQrlD7yi2ndZDB2Tv59pBP9mkpvz9V2NR4Hgqkgzl/oeLGfnemJRFSoem
jzZkkaZYtpPTwIEmBvzx56/1MSBeXU/f5dfquZYOsOJjBNSURXlcZHpykPGUA1COkR3TJ5NG6zUG
VfscTzc9yuPTSMzFfskxbxGhSwH38/fxxxvIZhfvumwHseFyqPx4hXOQh3PRI26TWFDQBIH3CsDd
hY++AyHvL17sj/eQrRtKuOdh9RUsQ358sQZNr9U1TnqojWW5q7ymDTqNX3Ad11l8mNsEGLJb+qQy
/P0P6WJWRtProN7XP5xLWZRCSXLq9ADCcKCe49scrX4cV2UCR+1vvRa0T/5+eJ86h6oN/fTDawn8
vMYQ+3BmkB4HcqKJX9V6M19F82j9hY5B/V0/qBh4LTJVuZQEEgn7Y6BjWnTIKZGZsSJaRiOo0Coc
88QajODnn+kPcg31OlQ9PkgVdbuaP35vvZO3jVNNCckbLHAQXiF9XMF+gm08IIaIk6ToVlPTwetc
0LqHG0Sh8fnn7+HDvaOuq6H0Gvw+8a/rH+8ddKQZHNWO9zC0gC2MQSKNZnx4Dq2ZfOHIs4PWsea/
OM8vl/DDJTY5ghzHom6CKvPh6xyYYVdL6CaH2Autz03qFEcYNDN74DLeNVZdtivSQyFNjfMEIzMc
+3k4jPBRvxJYQONdky1wzMIy3EeK/RHieiSHOtX+Yhj9794nlEVKA+JUKVQ/4kky2wpHWidtT+aT
8zaz8GzWg8xZsIa5MzqALVCLrsj7diGJVWN21plK5yurDMNDn1Xiyu9gOE5Mqa8VsYtN4BBXKQt7
3/2rGNI/3rUe0iKG5thCkLV+fKs6kFGa9TE5FL4OaC9TLTIyy7bb/PyO+XC0ccd4OmeM4v0q6u/H
Z2OiAV8KtTYh6oOoMRK4GXyVWWUz4xD2w89f6+NxfnkxamvzEkjk+cps9P2TavZauwVdxnFeNYAu
vXAIdIQQa+KUMgjsKttrGucro5/cZwYKhHlXdrf7qzdhq1/ij7crfC1EZ75NUcDb+fAIy5taM/ll
hHsca81Mq2lymHb+BBAvYjRzB65Ff7NVSluSXAJ26jiN+O9Z462cgoCvy77GRx91C/icnLJWpnWz
ljm82bWZFcs5j1siPYi0ul9yK/w2TH3+BM8JMU/eAOwCb+Y8uJJEMLPw7Kuh0TlwYaqb9xemFTM7
aMeGZ5xi4HF9oCOpetTccbmbo9DqV8BrhxsGBN1rHs7626JRxgHXQc/rT2XIukKz62NZSCj1hPeG
+6U1wNilCDKJf3MbVSNUmUD9Ik3xGvuh8U5xZX0agZJJKJ2IqtYMSsS3fOgEI59usuJN66XxObL4
ZTPEhP/bDMlbH3N4V21kf8ME45nrsqBsRDmqe9GaqXPUww50xG4UOsVQ6U7tV89lGF6m0n0mYbjx
7gkS4H7j1x9lW5aCvHxdNyDZzJazU29793kRoR1MxLifXfVnWzS552i2LRa1rK8Ic0hy7RGP9nzm
OUPKu5zHm8vlDR1iIc0y1u9YjceENy1uHh8IIHKso6kX8TmLfFZLkmhMTDGX06o3mBl12P/XnjFp
rPgz7shKZ6uxvmw7+4Q9KAszL2Elquvxo5gS8blvdJKPTUAQt1bGiAbwJH/PiA337HR1FLTSTd4a
3R/BQDcNCfU+EVIL22YeCmlkWZ8YrzfmSjO5tgWZiW85eyPGg5V4RRGvMda3WzLnwqRY7uwRTf66
y5rpFm3gdJPQMMcInYzkJXc6jiYs1E/GrIt8Y6n7sIAqcPR6kh2UnKVjxTzBog2MomLxNeTcS6jX
lnM0zuxHQ1qvedW1AzGNtobHjQ1AG/Qxy8h1ygdgfJ+iHVi33GAbnfSq11ihc6vJ4+61VZJaE5Jb
s+9jOgbHrrRH+HNcMD1CEhJpAPAAY278BU/BBMHwBp6h3HYpxqRoXNS4V4HmWA+RTBUnB12x6PB5
iTWxKkngmJDqSIRfjr3UnT3zm/Ax6txNpch2eM6z86xod6Hi3hWLu8sUCU+q+RpGcevZU5w8AMs7
XZHziCBAHKNoeiY939pQhD1fsfbgFIDd46rigQXFlygmX2oAg1aUPkJrqiPWQoxhWs8MStH8ZMHH
yhXhL1asv3mA+mcq/l8HCLDBHneOiuSmmdC1YKCegkFxA3ngWFtbJp+cEKYiy17zKkeip/eYg2tF
Hsz8Ql9nikYYL7oD6AhCYeLH9y3IQr82X5nlQ2PWCiuYHZJBTOTxjNC9LxLfEZhDFq6M1Dyean1t
viC5OsLqNqAckFqtuImEfD8OQ3hVleBHOsZum1jMUBbzggNYqBqpMOdrJ7Gsc7e08s5I8vaoKVbj
sjinzJVKkiV+xzlyiAB3JP2l3s9GBb6kDIdQrmZFgjRgsxurENzuqbdz3lCVCzWpms3lk70IC0mp
kiN1g+lfdYYhbyiURByM/8/emfVGimxb+BdxxRQEvObsdHoqj1UvyK6BeQ4g4NffD5+jqy7bstXv
96FbanVVkpAQxN57rW95i8cPKPY9woPoHnfFeDu9kiqrrvYRFQzMS1ASONuwwBztZsr/lRZQUnTu
6TN8LbQ6Q3bRF21kfmMqNX6T4zRtnbnvkZ5o0JnYbMBoJnVTXHcK/4LkSaMzjtfPXtlZBe0EDCfq
DXx1WQma0zMllE6a8LgngMbAVQ/koU4pfcBNZYhCQHxCk0aW/8r9bGu7uGJW8iDzudlYeAIv3VdS
aEQXCZnfK0EU+yVZKQtWtFwAo1AKup0n+4j5SzSeO3BI1QIkTcfeJGvVH4MfTqo7mBKv9NKBdfKs
DNr4SFAHI2B7AZ3OQ8GNmbJ3oETIjZscbda2mNonlINiZzKz/N67pf9HQSSGNlNa9p1dCPmoXxmr
5oJbnXp47GHVsx8rdXOo5xkOsdF4N5jNp7VTVfXaUI08UEEHZMNaMF2ZZra/a4Tg23pMp2OjnAu5
QGCDVx6sG1gnlDUlW5hF14Xa8SZ/JciiFnYo/heurBW31p2RGHQf0FAh8JXBrRZEVvEShkqLoMv9
qecFVasMugZN2W18BE4bcIp4mRa27RRGYj8uwFtvQd8yEnbvs6kDa6A6Z1WEVnoWpsByuYLJxkHP
1AyhtR8WpK4RlBce7YN1WAT2ddTk4oARyTlhN1/UzDORwaKxNoU/Vvt8YfYid/Wfe8UpsdA0jA4W
uK//CvrNQpi/MVxrOvojLraIEQhAWHR5/cIJNhdiMBC9ylshTAQkPL1ChZN0yPd5VsrvIvNo4iz0
YW0wrWbOvsxlFjyxohw/wRzpb9Qrvdh5JRmjA+Wd7gYjs7ZqEJdU7GDhYKJRAFjVMV+wyGpQ9cWY
Fvl17Ql15XdaH5ymi4mTBapcLHTl0YezjCfaP68W9jLzJH/PjKd4ycD0e9usDppHNxLNzlvIzcEr
xLleeM7GQnau07x9WBr6jFf0tm0qnE6BmJHGdeE8PJu4p0YWAUjREaJXqKYW/OgmLsWGIWB/boWw
yM0K47Dok21W2D9H9IOA3OoQMR2DmG0ZRcvUpK9epFUOx1mnGLMC3oF4Reb9tDCt8Qiqa8scupe0
zVizSQqE9x4GbRYpsOWyycS9YnAuu5+eS624Mt1Sx39iY2oAggD24MFWJWWSMv40XlxeaFHbl8ko
+nsjCocXt03871EfwLEpiQfIN9qEQcprj/A2SfByWZQHw3OnI9bQIIJ7NBCsTDCOmRXNxvCHHB50
s5gsEaSv2UXhzbYnydyGFrmDuIh8sxz5mukqfXDL1LxwxyQH1DzyzsB1B4Eq73sPEUVWxaQtpo0+
WGDLkeIVdb9BPFuxnE1zdOtDqprWmlzhM8hJvEYsukOrLMRAtAbpa9wBLTIBuFb8brwUmF3V6sh0
vf9ZUxstRq58UxoFV6H1kx8hEzWYq2xxLmJZ2wB17VYfPNMJHyZhO8+GXRt/bFzqJ0T+0Z0o53Rt
VXysdnVwb5XJsIyf2h9h7SZsJ81gjVn4no0x4OzQY5aSNd885yHCXrqaZpZXdFrcVMWDKUpzZfrG
NzmQlJnKcl7jPtm5eCNXbUlQDylWxUqzOdlIGcdo5BDo+dTY5Oe41TrQyUuW23G5NqiTV32sKl6V
0cHWhr3rvfG3mp1gTy2PBpW+/y4jkxBUlHe0OwgxVjKAQRP9zo+CaC1829jIkNvZTLUFer/Y97NF
fB0fHDOH2iOKzlZFMeV7AnL1beNBAbGZzl6k5fDHqHFENXNRrrxhsI8JjV2k2bEmq2DKD4FJewB/
Anifuu33NWnVL5kizYoan7cOG6Gj21futguSZleMirA0pdNTZul95jGNdthwrSmqPXiN+mr0TGsV
u9o7iJZkV6wAWAgawqt7H602W8FrbXVo2nLQ3gzNf6sWSUBtVPPe8hIkuE3wo52MYtdOtXcOkcNe
zXi00rG76R3jOfHcHfTXiX1KcFkW3RGJ8fexmMGyhEdyjO6JML9gyaVhBI7s3GvnP2kTPZBe803a
5b5mN70u0/w5MBNwkRlNSqmCFyJ2ujUzPnCOhiXuqzxpwQrZLzqw2FgZEYt8bJ/lXoulwDZ3aV9j
lpYj4k/vZzEE9cou6GqvBKL6bTT2BBU4808NZd9Le/zxhMCO6ymYokcTgRx0ntaHx9/WqHaQYidV
4uyteTs0yRMmkY7xc3wSzb3pD/1d4zcBE8vkVjpRjC0iyNZtM/RPht36Wz3ChBioYU593xoHDNDL
Yz6ZR+Ek8snriJBNisbzN11MiHLSeLRHx3QpJ2QQa4anFlto7NRLQqs3n9QgjHYXF/obgdLBL6Lw
QEQZdU5Dh1l055t7ewCqf45Rt0P6yRhXX+d2u3ye3WTpM4mNHtm8KVgLOEKKO1qOWd2u6Gq6qVqZ
aW6BLwKnucrYDx2k00vjEm2OTDYdAQKw7AKapl43UnJmwZJ+YIff/SgL/3ShxwPIURkxCOzaLVsR
CqmN7VeURRG3fb+pWF7oMy0zjanqw+99RIEQAlbflZUtzoFSk57NO+7Bb0LE4a6gSk6ksVVT45mX
qSGSYauW2NailyxLI+yfdWkt1YmV4F9IZ3u8Sr3JOpkWWh8rgl0TZyTmAhmkyR250vpmdUJtPdFS
iWAWNV+qavQEWR0oq1dOoJjwx6LuHhtw6Rs/NzxzX1tOe8beno82vNLYxhUFOk5SaCByAbObo6d+
eAilNknL9g/5TX0t2nmdEVtxhoQmhQZQtWd21vEi7Rw8M7FAAQMG9sLvJT2CZVLzeryhdo3tVAFi
Dz1y4qkThr1JqPDT6x8J/ML+ZnqZd1vJNNhLIeYDpLz6GY8PNZhubboEvjNejTPbHoNik1nPzKg3
yLiYkGHFyoxVs3ttFNe5ZoyiURj2GX3jnAQUc5UkcbA3mMMei5hEXw9l3d5De/hYJYoTSFI+kXVk
BiDS62sB6Pyp6E1+dbBdfOdRt2fYC/R1ptnvzsYiX8p61Dv1hIdBm5yXW9ALrwVlXzPENRnBU9rA
uKqp7fs+l+1myMIxWyUzXRGalywGvUV1YgL9rdxBNGcZ/qaC+9+cjVNQYYqh+YdWLkvpKPrzedC2
HYGQeUAAOe8OFa/KaK52KhtH95Q3yrwUeNfPqxTHQTcLmlfhnB1f7zsMNWgpkeOw/Vf5Q97moIPg
n1Mm6SVyuI8JRTXwudIUocy6yfvlmuQ9UzaL/+S30peVJPzZo0m5di2EiwgZy321tOJgL5JVNYVk
YOajv6nITUEbyh2gXJPPDoblA/PUu41sAmFgzCN4Jb95oyQyR11K86kw+SuYpdszWS7/t1JcLcvT
3LDoE6aLgQ/awqIIxKZBw/EUW8JNNxkhJ/uk476PDbbXlqTPunltPFlkr/6ZLZemErqlvTPzoalG
8kgrsXQ2vM6He4W87RRY6BkGlKvPSDn1NXIRHh0j5hF2nZ7Z5IjBLKyt6jmTHcE9jTZAYXZDbmJw
zkPrG8UBZ1hCs+mJKY0ydsDYrPdBmdgn6pb2UQXL5S2QLx/7iss0dJX9bcxUyk6LL253WfyrINzr
ucFkWPMq74ZjrqbwTNFyLVY9wqBnoqRQb9GRUw1/L2iT7JzF96UXHQomwhhWtap/lgiP0WKF5MYO
WNdMxa+jVMjDvhiQwp60oa4og71qB7WNKoR+Di3wi7ogGb4dwe6sZ2+2zlEIWlel44VkETh8c0Xl
IzYly+EexQPND8aiBJEtd8FY05oTtaClIED3rTNfUROO5JMcPTmbL5GZ1s+MIo0KO3vNM121ItxU
VKe73mR9DFyuVAQM8m6JEPkjw5oTDtRyD7YmWi1J7vURHgZKQN+ZkCjJRSSP8Skh5TsefvsedTJJ
U5Z+6qpE/9CDv0SCsyFvaaXW0TZmW8GbESHLyeqG8jIeVX+HScL/VRNP9iepNKAjEecT0kHeTFjI
mt0k5ETuC9moZ0PQhN9TD57dqgM5GW5kRYMby1pSTf9pP/+/0OFLoYPvforaunhOyt9/ixxe/8Z/
RQ4e4HbHEy4uVuYD3H/MD/5LfpfW/2CFZhwjLIsov3/SiuX/YMyl0S8Dk1fGPw3ZLvIHIQHJM0ZG
0r3IH/6FxuHtUIFpAgUzn8MsCtCW92YeNAUOgdjToiAIgU5sxXQBIfLzNv77QyDyEMJn+8hXRknx
9yiBEdKyOUTzOYABzmYf3XlJwDyX9P/EJV8rB5gY/n2U5Vv8Y7ROXq/WIl5cseWPzvhR6d/qKy/5
VyfyZrYsk8qldOcQ/XwjzZsp2TTzy+dn8UZv4fo+uhUSJRCxBJYPLvXvs/Ag4ZQD4VSH0fWBnRoU
NUld3RRFsxcxPdHPj/buhF6PFljMrkDAvXPjSy00AWiyPUwV7j6T8cAqKaTe5lGdb/79oVBZyMDH
eoWc5M0gx+y8WvMy48RiP7rTqduskClbF6YiXfrzQ72drC7X0KIbzPYEydo7YaCVgXIle6k9YDTu
T1musoPXpoSw6ZnQnkgXe9Jlp38nXHn94WzLsRyUTCDj3gr8RBKSV1ARNjBlXEVkt4QwQrmlmcK/
Pj+/t9Pr5fxsm8n1onLw3LdIg8wx6rmujfZQTLGDXj6E22g0foopCLpYjuv4up4sjY17ji967B5f
HH95Xv85k3s9PrJLpsgAzqFP/H2PTpFbx2aGbNAvDL31Sk4Qce/95ye53A9vD4JcErsYhY/JyPPv
g2irUpMK7PagVGPt5RiPqPylE17mtjkf5onM7qEnEbpq4Yp9fuiP7h/HRqFjBqxZgNz/PnQgXG1F
ttMeYAJNtF4E+cTpEiIqDTNvMGmxj58w5G8/P6xlvmqO/j5pyFvAO2ybl4JlvdWbLbzaNBqa9iCM
sv1ZofwYt+wFIBIsdn8RZvk3xyzYOOUQEpzOxGLROfwENDv2ZOiN+6Ru2wc7nh1rzQ4+3bRK3tii
GMSGMnQ8BVDEaQy05sZRethB8g5vIfVQeMmiT+/I0dJQbWR6jrmAyVpFn9CvCQ7CcppX1nAA3rEG
oEbEIXtZb5MZMr7I63paZU1frbykregl9FQCZi7PTZiIjIYl8uRYTPGF2RgeW7cc3pvJTCQ2xHCu
oqLnRl1ckID5+lMfFPM9gPR8E9exvU5l89OzC4nMoCAQzWiGTSfnYu/a3Yl4LHWvy8m9GUkc2Ru0
q7eV06ZUOOR8573l7rqMNVTq2rrwae5tU8fVKxah4ZsjiUFy2Que5JxO2wotONmZU2ddhCH5ExV9
wXVU9fFNmA7jz0AV082A2p42T6i5DQb4hUYy/x6BvD4Bom/TTcGc8B5dgnA242z9btvFFsIEXf0x
GlfHa53m6iGwEz9GgaXcm2Ew+aDlAiPguqjo0KkVI9l67U3C2xR1qE65R4sTYhnkphCfdb3m+xHj
J3AX9XlqXKaR+1t1sJPGSfW/0lnfu7P9OygD8V3b5KJjjEueFMGAZyZWKfarMQ9SObq/l2I4WMUj
Ct20YcVImetrOgazeuhNPq/QfI9Uy+xYBKJ7SJZbP9eNPC/8PmYzPoZbR7QgHCGFkKVuE2mHG2MT
tHW7G5Eu7IHuzfSDQeQDwZ7Cra8nkxocn+9RMK870EfhAPbsrZsmVfux8DPsqelwm1Vzf6vIBafN
FHTcGH4CxDiCQmXmYXZE0eIC6SNKbUA0cuUHXE6soZjhCsY4G5tt06UagzQ9S5nQ7uqczJCVbhIr
XPcthRDQvoi5fEK4QtlnGscrRkM7X6zmUWTuLbcNX0IpQMahnQ8v7TFgvIQpTfYr1yp7YgJD94pk
XXszRURh6jlyj1PdNqfGWPoauHTOvKD2rkPDMfa4YRyCM4voNLriISwaSiMIb2CyxGAyeKX3CFyf
EMe+1wS7E4oTvijEB6ugHiu1coze2FdMgv+4aeb/obOt1p3RQQuXVvASB6a1Rb+NSRCbkbk1OkX0
I1EyXI/QzECvzfpXzpg2XXeDzrf48U0sN9Z0KPzAPuVR5N7RNpi34eSTuwq9wdr72ID2Anzhk2+H
A8BAEd+YRQNChoR3b+P2mopeJgMzGgYcP62sU8em6IvL3tHjc+sQwln2UXAFUtC5o/5nnAx2kXDV
xhLnox1N185ATyiqW/86TdrymZiK8aadJqwKaawuNfmcJ0tTSXdNIM6zmgaM1YhhDRDdu62B3W0U
urADxbU/rAWAi2zVWMvilduhumlnk9y42QwzUPaeJzZIfyrIpKMJ9dhTWOryKr5tiPv5JfBfHayB
RSgzim7PrYFuwQvErp7qbg+nOCo2XU3wIhtKkG2m25Aw6UHWi6smvpsp9qJVNMBj46GJSa8MyFxA
TTAf+bbRnW1V83HCNXrO2HBa5wL+zRpgjplCIkuDM+T4YgfZzEMMEAVnogtoj9BGID5+IaTGWVJw
Ag73BAMCOlyBqbbm1LZn/2koxQ1+NEBhxlaGfQiq08yD9RAqroOu2ODYNEiuSzYBL2OjSPeohgxB
vMusCzbGWrEK/EiSAKrAIOVBAS38TbzRvIOVIc5f2yVjleT+ykdf9dzB7X8BpInWIKds/0OIXv4w
dRrdhmXS61q6K3aJJQ0wJw1FjRoCR4lcGmCImUHhq+3gk2K25R6euboKO60VLUPZ5ZCM/Wmq0oAd
1v1kU7Y7+dJTx/3wKLXqNpS9/FG3dYxtAvHy4rWTZ+Oc/MZAiKrXjauHISlAtAd9uacZF5Jvh98t
xUCDr4sJhqmXOr/qn/E7qzOf0LoMWGMqNn6Y4cXCP8bi2Q6XAfMmGlWxMEBLBsmFl0FatAwVBcRd
VPpQMdYDhE0f8qy1nSFi3DEUx7SzaAPIylP9Mh6bD6qs+cKmxg4RJHQJLaiiT68ijcRdmrKvSm5R
+yX7mcV2Ptc9hwU9j9NpxuNhtfSyYLQZd3XioeY0ND+97xB2VUk6oH3uxL9em0HZ0qgqWk+ch1aF
ItvrUDA3OJB5+g1/TyHanjm1kT2MpITsy7KhBdl4xla4LWwWRVMxem0dLy+7LmD4aaS0UUfgL/j+
6JpUAZPYmHbytdNO7rNVNPm2rLnB4f5lpNogt0K/qbaMjsvfKe9w7Otmd9dl3vzAjRRde7ERXam0
D27LhUjhuejGk5aMcr91vCdFLapWhIyGpxzn+PSfpo8dGrCfSL25mQ1z+D2UoXFfyDqkeUtq9sY3
vP/+TpnS4Z/J5Mtq1xl3pltbl7RCjbsozFhkILcc09xerOg6+V72nX8TVIPeGUCAH0mzcR+H1nAf
U1FPl7ypvF3cxMZmAmewoa3I+CCEvjFHRvutIvlqa7fQ5Y3M0ZevV10JRDn45sDOZ+bOLEuCj/ES
n4sW+URTwfMve4iiFTfiTovKPJeMT7dlkKqzYlLOtsaCSqfYdHmIZTAde1poV6FvRWeofZi4vt7L
s28h8DNccrEJKzqf/URfwtIJt0wwwXe44EdXtHyyKxO/2hl56d5TQPD6XoWoavHn8jIEVsjPP+NV
yDogSVZD7zsaA4eQyol2npitpSOJ2ikjyZtFYTrD8ldekTcyb5JK9BEtxHp6MJH1iVU5j+l2JgeC
fjuQnTyY0lWfyfTKIdp+1zv0vd2+YHwwzoCb5chIoa31VSM7Xt0S5+teEomKnn8uZLaxLZhdKx8/
7pZ303AWtCgU8E13zL4V5tw1+RDVXY8Iddez4LAHYhZ8jhVZXTVMDJh4wGGIMCZdTKNVH4kPHXco
/Q14PVlp3HWmSXMNTCo7ZhfXZD4wADAjbHoofeoUbPEiy/aHhmFfPdCAtMr8wWTKsi1qmtJOkFgv
rzoot0DbAk/EfJkCn96pTipnZbiLXBDByDZBGM6AG6kfEY3y6I3utPXV1J4BRKRL6kwDGrki8EA2
qgER36rsnPnG9JiEAtWEp7YO+Y8714DMtQpo6p56snDWIX/0OnXAbK6quQkP5JC4+8R05jN4mR5Z
8cl+OaMrGWtiRgMRA9ZIbNJ5kuKWwJ52i2yl3M51bOyp7YlucsRk/5jKyYd1Uja3zuCgk80S45xh
+XVfT+RDuYwgicT57TfE2FkuOR09U/A8ncITpwFAxMRRBWSga3e+347big7sPgwZGROsoM7R/bUo
QxtTbtkhxsyoRbFW8XQNgqdaZ51X/JSl8ZN2/5W2O2dnaxgy7NuaM4hIBOfOyd1YxfO69Y3owGq1
50IMa7ToBHwj4WEE7j/h1mvXhOBVDOY7nFz+GEVgYpk1mr5CXiNqd5vLmvMFnYsdrAc+yIqNOqAO
L+oyjtbZQPy7l+SIuitn6InBS+MfUT+IQ6YtVH5Trwli9ufqtsYSM+NDRwuJIzo+j1Ovvi4Jen8y
8PmueKsXwExr5vCDRBxqoZDb5D5khn6Y5qOdBNnezeP+YMTQ0TdV1LjXpIzM16AV2lvIS9kW8Y9k
9K9bYmFImthqSWBMCBFjT2RHuhuajG6cmSdHUOkkJVmqeQlw+Z9bgYGDMctF0G7GKnJGpsO9zrLz
rnxhe29915TjF1bQK3Pd2qK6GZqUtCS76sfrcJ6qMzUxYEqNuNspHzWUXRTEPWVwgsGqtvyKG3Cx
L27sNrhV43m6ci2V3pRCVbseN9R3r2V/tdJWbF9OfqC+Q1iXR4zR5SPMGjNcNWXvPJjLG9Kzippp
lx8Dqyn78zjxXdJrO/UIDFzgo27GYy6i4Xw0puynIhsNAZ3Fj1v1KrweZF38KjpprgfPcp+Zo1aQ
gAG5Hy1C/E6togL3sAox5xgIJ2eoR5LgBJjs3illsUXaQ7B9Aob3sjKm39kg/Se7klDngtkHMgmB
DZ1muk6HYoLrHs9MUeMCsUZvaLzbRLqcp2meHtIa1FANKIWfl7ftcaKqQEHugDyyQN0QJbaBfHtH
ovCTLhUNLVZ5oCEmbsOAkXVm1Y+tkzqbzGOkg2BENhC42RlDgfGKuyorqpOac/usbRFvsJ8vkEYB
FM5qv4cK0sHjO1AuecbvSeWIxcZWnFm95z8QSVOuqDv9PVXMCLYkCe8ZhChiamR+zVYxfYaDUd2n
TdY81X2t5b42BPPpJGySbD9UIhQr8Hc2xZQqb1zHGksoi4wnstaD3tu3Y3oc7P53NPqM7+nsnjSp
vecOO9ufZW16ZDNKbDVGdjlXA3inzjHyvUJtuGYgXJ1A1Y1Y25taXdIIjC5J1wED4eZpt4WJ0KD1
Ixylg/7xjef/lypN2NC80+ALggpGKKHmY1B1/XWGj2rj4it60G3n8OIiYgZ2W3jT1U71Qhvsh5t2
4w8Ekbdzj5RzJxm5bAymLSThzKzsteEQ8tLnt36wgBqRhrbfhEkUyzok7suLe3M3D0PPaCh2AVVX
7j4mwuUEZYH5Stb2JPQUAbVpakcvTJ8AHLISroRjkA4QaXlHqcP7BHHyj7CQJgFcwaOr3fHcrC17
z6fY+GUadesmLlwWv70aaGphaAuH3bCgULhuU3oRBPO4H1rJFQPWuCcdQbf0V7goTigf5RC7d8lQ
gfrvEx7YNoAtXbKnmmIv2AnCspQT29fUIA8syNmVrmfv2KAuhQCivG2dl+FzFWQzIV+jT5vQSS89
HaLhEQZVjN2yuyXQogFfM5bfSpD+7HAN+s2FOgPtWdyEieFdy8aMiGjw7EsrHpw/VkR2TZWOAHr6
JDqGZdxflULHp1xk4tYl4rlExDyHRv89LeH5Q8LaFyy326F2YKYrbd4AJvQO+YihoFJZtZ+AbN8q
VtxVr6F4BxC09m3eE8k0A4OSpnd0FnqSGtsfcVDKQxrFvLHYCB5ZSI1D4QTDia2cPBJbE112UZOx
/63KP71Kwebkqn5x0P1/73yF53kVITJ/qcw0Nc+tug/PfYiOG7olAFoBedz1tqEnIslsEZAb10b2
uiqbRq+ctqrFrilpIwPDaVHWTG1+VxYgAAsxBfs4WYw8tLDuUED/1hp9sUkUKVIUpz2a8/hTCqoG
kdsQP4SgSGoQE80Wk/MiCSzc6dbBQJN25PkXT7LwHgrEdGs3rKIDu8J8Q7vjZ2cniDjMKUThxPt1
GnHea+9ZUoLodD6J1rxhDwWkU9ImMnrf+ukG+XjuVgIqYuPQSMnK9ioKrcMAp+5P7DniWpiGfdPp
4E+jXeOBFPju3rZlG29EVzWMxlu92MItuTJKUe3NQPfkQzTlxlML8g4/whcepY9mII5r8oKmxQ2t
G5fxPyc5TgcUSyb0Xwn2yo9WMdx7KE4OkUd1G0ga+Z/3XT8agmAUxltDcPni0f/7cFHbmBZ6IA7X
KXHX2M2eCgAufijNL8Yt70w1S+cc+rLtsg1n4mK+7SwTM/ifpjawgvFn99qkn8L+l1Y06Y0ut/BL
oHfx/Nl8hmlHRTnSj/v8dD/q3hNx6knPdfCgvpseSEfNeAFadPmReyOILoDHRZ/086N8dFH5CZce
tsng86271sWT0rsFM5jXcciQkhbqBpMm1TCtv/j9PjohF+GA7zq05jAp/v37ZboviZyBWjaODbDK
sfrh+dWPz0/nq2O8GcslArQgTysxa7a6mL127/rFV4635cf/u/lvM/XDco7ZyhXy3c0RpP7Y2qo9
1LzALqLetI92VdItH8bkKTYYtSBRMq8ikIAbcPMmAY1EBHx+nu8fPUingj4qz19A/fJmtOOKGvlg
FTSk1wETUoTArEcra065kaL8qYNy8/nx3l9Xjif9ABa4wIv99tlrFgjdhOnnUJSaVcqbbshxkV+s
J+/vRYcZOjlW9HdshLJvHvAgstTcZnkD6zUiY6eukjWegpNMaWh+fjofHImTWGAaZAw478zHQZck
ROT51YGlDdWS0Z0TbnlXt+nD58f54GeypGubFr8VK5e7TLD+Mev26iJzglZWwKnMbZs/G36+TjNY
u014/PxI78OufJK1/nGoN3NbClVvcW5gFQIgtXFLN1pwWgp7bDBgyRrK+X4SDKZJGQth47q0+MwW
TYrHvnUL6xqCKiOgvd1RSxetQxescBF8CaiBBEZphOagyi/CnM2g25QOYlFaxmyu1Da3VaqOcsj1
5Vj1tLFgR4L7pu2wGr1k/uJE3bfww9dRJs19kwfAwrvyZm3O89lwAhIPseDF6jEoSvPSGvxvk+cl
z8Xcy2O/oDkRVH1v8brvZAaqKNPemYcvKBGMZ6ymzhAT3xchuyPlxcj8i29ANS/mkOqyqLIGVNVI
0yFxJPaylODdaKzQaA22PBqp0a+1W7kHBlxAghQePY6Tbqjj5Slz0TKkGXkRmvV6E0QjWKFIb1wW
mICrZZPWQUKv+SIXYdfnd8AH9xrrEsHZgncW7/0391pYDA1j2InrkhrdabAC54xfXR+itEUkr0Nn
PHx+wPeTXwIIwNEIHDwQPN5OfvEkDMNYF9Uh8BUBRQngnoa45pPn1Gof+pE6xfRf7giais4/P/IH
jy9jbZITcL3iNZXLpfjHY9VG02DEvVceqHWnp8EbrR8NTd87jOrp788P9cFJMuVlNaLg4Z+3M3SG
I2w6p748FENLaxRDR0vPhuBcrCbtmddlib/umLJNq9Gmc/f5wT84T/ZVjsdADIkEw+a/z1NmEWyE
qiwPENKSfTOWd9Hi9fbTqf3iffL+SO6ySFkYeOExiLf4EArBLsI4mh+wHD1OE2Q029c9T5Hj/Ovb
lO0GgimEUcgw3vnFawLfeuDMOcNF0KCzR/fFSa/GUXg7qs9f//YCuiakMPY3LgQG8fa1FSV5XRKf
y2mJwjlg5y0rBgk0drt8Cc7+/GDvH0AOxtaGrQG5Hfbb11fDgDj2+oIzM9y72DEesaf9SrVzhyDw
iz3I8iz/vQXhUOhzPE6NNf/Vjf2PBwAOXzKVBtNYbIlbh4ZJUIl8JfNhJuQLN09Oku7nJ/fxEeH/
IGNbHrq3rxe3lj6G5OzQWMMxC+rnarLunDZrUPt6ObF+9unzA350R7LxxlPOroMjvnnGBbQV3Lcy
Oxh9f5zy4eC62VXimV8c5v3GxjUFjnXARgAm7LfUjME3dZLw0YfBsBdDOBlLteaN+PnJvF9FOIpl
stkA5eC9M+njkNFlmlrZoXUoayn30JT2f2Tp3aSNYqrmz2tnqr5YJe33b0qOysKBvp1Ug3e8g7CY
cQDEqKoCgY99JGGFd10Nmk4HjOrmkklWNxEduTIqcL9rUgxret+m3CvdRGc5w6QdPNO7eRLNN4S4
0AVq2Oav24JmMSGgjfHuAxvIA45A8cW3//CHAfzBHWfhGXr7wzCXjHPam4Sqj8xl0ilIj4am2fH5
D/PhXYauEj5gYC9RO3+vsIXb8BqJqvwARZAwp2o4mKSb+FJ9tWv54IGFJ8felnUI0u+blVxA+y3r
pmQh0rXDNDuMz7Rn6t3nZ/PRCkSsDXpEn6Kca/f32cxgizTh2BkKAhwtg1zy3UWPpr7LX9Dr//td
NDUjMlFeGQsj6W2FivfdI4COR3TKwl/LtWsT76Zow8fPz+qjh2fJcJVIcikM3mI7QB2W1lzx8OSJ
8K+zBW5vheIXHddq10bC/znmEHZQsXRfvKo+WvPQqrrsq4MPih76J2bsQM87ROQoqtLAQRHt6vSh
TudblusvjvbRDU/ZY3OzU1m+UwuCfkdHhnX5AHU72xPII29GG1fm5xfzHa8F/pHJRZQ2ryMHmfOb
dTXobd1Dec8Ofj+aD0lsVjsDxfEqTJ0hp0Evx/vU8iuAuGq4aqYyuxS5dPaxj7BrxsTGdCmtN1aD
xxx/BkPZHjbsFy8b68MrL6mweTJhmb3d+LRhZ4qxKHjbaJdeoWqeLRVUa6Ql3Vki/cde052QdUwn
s3SSh2wcujMyZn7EjHVnb3FfjgVwVLS7K28yahI8OY/PL+QHzxqDLbagUjqwBd6+EHPJd0g0220w
zb/q2VI7s0ZRFeYMsafnz4/1weWwXoWGYlGssuv++7m2oU+YLm7owxxav0waDptCmM/dlJcHGZQp
Ji1PfbHD+OChsyza9uxoeGO922IPbT7pNqo4vVQ8xUkEjYPRPc3Mdl45uDPvm/Z/2TuzHbuRLMv+
SiHfGaDROAKd/UDe+fo8yCW9EC7JxZk0zsPX96IiskpyOaSKRL0U0EAigdBEvySvmZ1z9l57rDeM
ZIfD3/+sMMrgtXKyEfL1SmlqHpojt60O1GpXePwa5Ln5LbLkCGdr9G52SUH/9RXfepIc2WgDGILq
9zUQje8KJlCzrg6aHtXBLAZGk6XsbkegB4fCppD+9fXe2HP4gJyh4M4jXP32Df3+8BY2oPErbu00
REi4TTDlel3VG4ks7t+5lIf73bU5MILr+vHFUY6ZdEVJiSa8qrwhHxa3ptPZ56QX4jfL11vvKKFm
vJ4my8pPOuABXUy50Bk4tEX/ANXjxbLqhxzKsZ9E9a2Lqf1vF0csYJguDEBk6MhffwHFRMPdaJfy
sBBr5evOeNf0DZEYOLp//bzeWJjRFsMhk3SesXGsz/O756UW3Hp6SAmYR9ZTNE17d6kffn0JS/Jv
vDrQ/3CN16uylmapSaDAAVWv8AmbVCcQNdad0dtAZPIRpnSkY40aGwVtLI0eq7EhktNiYNOTNknz
r0cSVSaMe+CabzUpBMAG3NCJ7JrTYprxreFFRFDOOLRCpZf7okWhQXU7B2jhwmNswZ1f9Amzolhp
RikzvLvFK1BclAKeRlW0zV4f6tD7Bhy7JmOS02G1msOJML6OJyfei6adjzmG0atBxsXloDXDwc28
h6TK2oA7vMaC0Tf1CXlRBxRKBMyNi9qGfWyhGMxGsttkAuUo7Xe/vr1vvZvs4o7gPZErpfTHJwj6
pO5mm3cTreBzPXXPbqyuTantZFFhqiVY+dfXe+sbzpmbwx7te5Txr65nxXNZy2guD10drz2nq9HI
jmNX/ubw+rO/YCWeGpLGHz0CMPQ/fiyAI7FsJq8kyS67VSppEA65n+vskUkU6YBkzlrGx6gpf1My
ybevS5eWO0px/fpA5ikwWGq06IlU8/I+nnRcQo2p3aJ21/Mtg3NqnNoq4BFkQ73JS5RCQC1YyGtj
OFpIfa101I5S77Wd6MwyCFGH8cKpPcYPxlhe+skSxFeNE3ogkDTRxuuETe/FWTaRCO+NDB+/u1i1
j/ORvKNuwZ6X8vOAflAvCL/FTfotd3fCgoeji18vFpID2i7dOrAL3tXEYf3mUbz1xG0AtFBu11xO
sd6y79aIRG+tosyG8gBAbGa65M+jvs9EN/zmzXprLfruOq8PRoMaipwUgvLgWmvIK/2GoIjj7a9f
37c2RBtaH3MF5m1QSX/8MHptEHUFtunA0MkN5tWyqBOJnREWHrfzb0xnb16MfiU1i4e77XURYTcs
RmXOd0WL7YJKdNkPptohA0NQ2SW/uX1vLQQrQ5vdAsveT4fffJ6lnSKlODRpcwsQjeCMcH6q8ual
SzBvxfZv7qR4671wqJIoYPFSwfD+8VYuLel3rsk5LZ1yaCKLIU7u0oxHg178ppJafDBVjeNbefIu
0cP4MEcomyOgvJdu5GY7grXmRwdfABrtMAJZ9esn/eaPx4JIG4n+rfd6YRynkCy/mGPOWKsX6UXv
YmO4zyXD5H/jOg55Jpwo7dU38+NtaAdtjhWinAOVqKKb0z2Xs0YwUN/8ZiN969i6om1psaz/57z6
HsrRQ8aNAOvQIRyPW3RuY3nbVBYZ1uI6r+qHIvd+06h46wX+7pKvD6zpYuYIdfTioI3TnoT5FyDn
KFztU1MNv6k55Fvv7wriphcNbpte0o/3sVtz2JfJKVhmjPljF6uvMAHtABSOG9C+jYKVDxAUrMjb
pF4Fx5pY5VkNyh+PFBKTpspTWEO16g1ky1hbMBvEXXMfLR74XzLFgiJs3d3kjO4712LVBGjVoprQ
2okktbW1WRlf9dFA0w4PYVL6x7Tqr/AkQu/nyJe4w+gXs0y2fTEb9wrlJZu9Yf3mbXrrLnirU5cW
B+/t6wEsoadtWyJSPixqOS7dIvxON58wj5/pmT51yTz+5oJvPeLVnoFj0KHZ+vq2q1REc81h6JCQ
XYg4pie64xudQJJ/GfrtKkz99RfmjY/Ivr66jeGwc3Jf3/Pv9hPPnl2QIzI/QGk0t3Ez25dlzAlt
TityYeE0H9Ahffr1NX/KPqA1gPbG4KbyFaW0ffV2RdqcM5nNi4NdLF4Qj719b8bk6ZRyts5xlefv
YLDBPjCRbH3TKbsx+IeiXwBioSXaayM4v9/c+p8SBNYfaj3dUPxQM/1U+0aTtahw4BvdLiF6NpLX
dqjS5K4NCUmGuSx93hTkUxYYxKiJg5mZDPJr83coYvnGWrn6wpFjwMxm0Gb8+Eh0pBF20SUFvuUU
jMo3cXMiQV8gsCytM4/LORLzY53xWUApy2kiC61gjgpPZLgZ5ajv5jkEN/GNL98t+nuOxeU+Hnml
sE0QyzN51h5d7suMIpMle9iadhpvEQyaRO2U3YEAKmc7xb2zcaMzeYDyPpPldM3XFifKzBfhKXZ7
75TrzgcdKNhvCvO3Pj8TMDzozjqhf904ot2W5m0n+fx5Nt2DKUWQZk/JUyK0ePfrN/GtS6G+RGuA
G51t49WuydAJHvm6LQEhjTeqdldLz6Sykxfn0dOvr/Xtub0qvSgLaOFQvbINvi7/S83OCSdLKA6I
W4FZy8AYx8diin2oSFApnVycRaWHN91kjFeGoUW3BMDBLZG52hPx3Px5lPz/+Ibf4BvWGR3fqf9E
CWyeu+f/eCm7pJuvnouXf/7jMinLl7bqaJ79+cvHL//8x19/6185Fd4fpKQAKmUmLenc6qzkfyEc
POcPunSMQVx6WpRmNtf6K6fC9P6gN0LECoZwenmWw2r7V06FKf9YvekED6wOZ0zq1t9hONDDWleJ
7942xDpkZTBpWE9b61zy1RorYZ8U1Dz6udS1Kq57TCK2tiF5LkT1Iia1zcA8VP4sgVHuAMQI5ICq
k6gUczLmiiUpfYB/7SVhRKZXIc5Pl6dpyU0TKBgzzc3Yik9kDEaPxUQ6GvB562kg6O4SYWh3s7DW
hLukSumhVegVgNTym2i3J0/ttTRmPtWl5RnBzXIoJhydTSc/aSMZsWed7GtSnG2juxhSQoQfZRb2
zkWLcYV8REjfPWlqhVz9rQynwWlOSHcr3SfYZ7fMRH8uWTtvZKPLIHZk/4G24hhPfg8Y+TKTCXlf
dUNbYJfxbO/ZVQs7kAa0YFb2MHkU8YxqO6bVGjSQHe2jyRr7hXNNfW+bvXFsnS7eG1OKldKbt5gf
k6DV64QZyGAY+9RIsEzL7MZOnTA98EfkJcmtYUE4OIFYHc2+xm+AB287oT1PUHd9V0+L8di0jhYs
BBhvkVZ4UzCQDrVZYqe2touptXdCz63LwbOmreh6Rxx7z6urc7d44bulcJ17tRJ1m2423GMTdlLb
pK2y8hUD3tYBToL0/TA2Md0aA1Ie1Tb3AIpajbT2ZHtVDi/O4V72BaJ0Awyt7pN1PZ5hjEVuoEUq
3jqJvdzVZWQm+j7Er3fIBGnJXcMJyOhGTgsArqDczIBZzbBOd+4chgcTFO17tUCvx2KjLQ9e7uSm
30WjkxxMkLf5OxqwffkY0eWDrNeXJoi/LWpVr233Rp/Oenskkq1EIZTmViKeYSA2EU8OK4pF9b8t
WjMwCNi7woA2bic9xM4BBOeYDAtC8tCG2gTOMsuqMQ0SC8igSSoK8Wlex67ata6/SnwQXVsGYdmI
sBHYAMctNechm0gLtgyQ4s2ltRpllnEBV12tKNiadgd+jgnbvZOVu9LO2kdNi28n2ic+loloFy0T
5u1h/kDMBn5NJwl34TDf6+jdcfhSRi92nV7UhaYfsaZkuy6sjZPHzutnrWi3rUYBXMCnxkOVV7vR
rZKzls/LUcc/xQPKjUfchx/LDhxxLSLHxyyrBSbK5h1U4K6DY0fcRZuMn5qqyU8NjvEzwroeAnCB
OoxUVeyLQWuqHiaj4v5oRHwXWhlEteZpIGHTGDdV/GIt9XtnEsCbwkrRVNFhlJsNscjMCAh+7efo
ApE3RXtCS4WIrPsu0fAsko/jD4YVBmaTiht++vScWrMGBXvq1BFeBnEYuZphA0puDl+2A64rkMFK
rmSwjuSa+liO1n0t8zv83heLCPde0+urQfwhsTFL6K13cqLxDrIiyWZQ3lx93kYpdz9CZeUO5mNb
13t3ni5TlNukr/bTrlE53tNw4cQUmu9sSQMI1XwLTjt/yU3iE41yxLmLS+c+0SiK8c4EXodqnrQq
FsHEvTRXL2daIMzlRCF8Gg3mLS7RcltMTRk43jDybinO6DwPG31b0QZa7PUHt8k/Lw57fQ1f4oTb
C+VYA6YDpVR6FXtdSlQapw++FeI2iuvbAVcERPYNxqPyaoIB+Jyvq1nWh47y3bTVzkoZ5l1i1Pap
Ul0c8MCanaK0/4C18D0oBZK6jelr3BXQuZ0WhWNS5/hv1hasFnqnfk7ktmVZv+3wC8Hcs71jljp3
od3cjkOn451zoMmm2ugEODi7J9aVfmMMTjj4SnbpVWpgS627rNvrPKidXtX9lRVZ8Z2cJu+ymfS7
pdE6LLC4oiIY3anXX89TsUM0jyc5JaYBHN4dHDdWl3jNEdPTHbHUkh8PcHpsJkTpxuwONfK2TKCG
SruHvMzsnVEs4f2YjZdKq5tgwor06Gjpo0VAsJ9rw3O7eO/tiGz03oLSK3pFIzgnnd0YdwwIjpWd
7j0jhcyV1uaVIaJ6P7rN5xInxxY8YLtWuw8KLQgvcEbdWcT5cLbqUb+KhbzrPXWRt/E7O8MLZpCC
ptMz8Vlpt7bmfYTj2wbStIJsXUuV5t64rdy3STrdTTw6vL4DQx+WUfdjFkbifY4efNNIh6+aBnLc
cAZgdAM0y+yEEq3bWUNtnEmScf16UPjFmTrGQTbn7j6f+uUYV92BWug0JGG2J0GQQCiP+WNCvjqb
WR4soef47kg8K2a+3vyMqbBbgz4192qGdX0bF2vIpdPUl6SXQ44eB+zmqRV/QpRiBqPRX0xJzZ4w
5o/CHA4lDlhvWNhYU8/DAdvdA8e4qhOn+DxMJcK8+T0xEPl24PPAnKyygAo3OQ8zcb5NIXYmAXFG
EGHJvpow45FPHMI27ZdYnK3EinazJme/7SP5AXy1gmkisNVpDf7pLdFYJZ4dWd5E2tDigWxiginZ
11RCexK0eLphCqZ2Za/6C4O82CAxDHXwep0Yb6k9xtq4bs+EUFe252uudTXq9Ga1Mi+v9UgNiCbn
3IwSCpu0vytTzT16bbacpkE+mpOuPjFdwIUYFhAidljZMZDKXDBuMs2KRF/2WWM7dN7nQhtuROwk
AbkL3V1rlTdjqWlBnWGemfHDZJQwK5Fthz2jOtWL/eS2NHCmBNu8Jrqt4OPB+Mvrjyyv5mEUc/ic
LqLZjjSajghjjW1aDfHeJqLSdzEXBkVm8mHb4cNKu96C0tMuMe1k75TXEVMxtO5Xmwn8poeG7Fux
zJ8r15nvnREMb9a7H2RmqaBwC+cdUZrJRoPpC7QgTh8I3dX9adTXspeyUsqp2kzm+iXigaW+nCSB
ny4hqqnHjxc1bbEt0i+qyT7NuubceV45PMl2wFzXx1eEW1qg9dmynVQJQqMTppLBohrTJzQoP7fL
UhGC2gNTbcvoUhj5ocvCLNBQ0G773qvuYGzWGJPcuL/FreQeFseun7TFO+Cdmh7IyjF3WPQBn3pL
llyUXfelztzPrM75riZ5cQPpo39MUnG2S7jBymvmDVEMyTZUNhsEba0NDRCYhOB/QA5XqXFVSsZD
CI/qi1S0+D67dr4oTJjpYyUmItrqz8Q8iABMRyJulBrEPQtkO21lLwEl2N0YgxMuo3ZnFmbG5tVq
5Yca6to5AuaygxWdvNPHRs6kM+cuPg9zlgATpPhU5pb9CfMktv1lZQ2EMXRXkXNg6LnnBroqaAou
x+NiODn9ohEAq29KaVyHFCqS723ZwAEi43pTcPIIYuiMUUyrTZDdfG760dllxRDd4xntGnHJQSso
iIduvOVoG+OXKrTtfU0K6Kbo1LSFjWIfQyiw/jJZns8mueepnazUxJ0M9nGTV1VKAnT/cejMLjBQ
q2K1DSWOxir0G0LUAi2rDrH5DfGuAD66Ij/IDslg3KTDqYRlFDbyKo1T+ZiYeChyZbvnJC6qc9qR
LJpBkp+XeJcPuPTobZh7XXzq85gDU0q8bVqEj/BkCz+HJh9qptyQvcLU0mp8F3/JqbHncuvU9BJL
3ruimVqfToAIKq1UQWIOsGSnmuUksXxcMQO0ZcxLSxZ/HD20xRzwdwCLNAzb6nGqymqLpBVmeFKc
EZvPG7QrBWY+joZ5p2EvjhzFnphXx6oy7zxUIXs7kp/zsn+s1Gxdaza0l4I6xegsUlXH0gwa1W2U
OePqU1ZzqTXwl5pFM97hXMGrlxfF49RhTMQAxlY3Y/tJBc5dWaHsh0tBYG5a4awEj1TUatpVLWe6
pAqTL1kjNlBToCYkvOWAK30yRQrfntzw0RH5RR335lVjel3Q1+VXDr9E5sbtVqRLFcRaZvBIh+uJ
BFVaj33x2Jgphjmzj3a1WXpbk3kNh24X4pWW5gSxsLjMY1bsPN2qr2w3/KS3DZM0lPB7iLXTbT07
2s5rbRHQ9ePUI5R3rav0qpzm/srQq6Co8BYvbZOBv9bnKxjsJw1hG/qaSgbOMAw+wW7jhSudLxX1
Ri60D4a7PEfK3jui7S8oc2duRrYb8+UYutmwXTRtn8dfNbdGwWW3+oVoU3Wos+YGqf0ZdjzLI9SU
gAxyfacU5e1gNHIvu2FvVJbwZZqe8YWxgab6Sc/cR3Jraf8ly/Pk9J/DPgJRnPH+VPK27y6dKnys
hgV+xVRGHzXiiYIe8j/RwEsQSedi8dz3rqo2jedV+4zN0YeIoa5CApcx0OkkLJjqNmWIHmhtqgdd
D48A0FGkX2UhQO5o0W56vEYuoSXTwpaQhnxcdoLa1zUV75gCtseGN/jj3MQvMht5R8Jx9mNptIBN
zZzZYGwVH/IqZQidJKJAaGUw4ZkqmXPAqxpnY8RNiU3QAIutTTXiGzvbp4kWNYEyGj0OqqxTH4xR
JAHsbIsiR9WPY+/mRxzVw5FTdXb0oDrsTa80d2QZRedR7+0dtL2HuUE0wYjg2iPK5qZMNPHVStr+
vMSJfYJi3xyMfF4xs+G8gzXUPJjlvCYEGs/U8OkleF0K/Ei/XpZoCODQRhdycmQAg9i6ZGRMlNCC
UkISZLOBUg3fxzG1Xec5xISTrBHKstwPYOU30aRRVOGlhRbQra7MWQM3j3vKRCRLcp7cGnEeXtui
s2k8zp/covf8wnBIic65YxxqgRkxX4MbeER5gL5lHK7I4llDlGKHvdj7SP4oAEh6y5u0iAeQxFbJ
MahZNmPGP996I9Apiizctryuxbij0cnIGGhDNU3pLq4IgufceHSKMiWzqBh2a+Nyy2qOc7ywym2e
JfsUQQHFlHvXp5q5pxSm4yKn9MOQefiAQ1PPLtmq2YVGqoWrufXOzFVcX6H62BigrKB0FIE2UH5U
wqjPzgxT3o7y5NBm2OYbsu0Ydrf6ucvq7tRW8mu99JdodyH0UFsYS3IlWN23kK6Km7ThMVark9vL
jK3I8zHQRk34NmzqTVa72nk005vEgAGUVcVlZDvvKtdr95yvayaRvP5kTuxKoe+x/ICo7SxqGTQN
uz4D/K65vQH+untZKnVrV93lrICMkO2yWSK5pcuwchckOR6EjfljB0M5JAXGlm2gxxOrsqWHB2YJ
uCgyZXFomU8j39SgXwcpet+xRiJAQWk8fBqc9FPiWMj46pupq6Zj0s7GhhLyzBL9jqFAuYN1taXU
4k0WsM+6oR1x/Cf6Fd4CY088EW2UhU3X7OABKXE3p9rRTfvtMthZUNei9Ch0lvKpNjXaJuM4ujso
Yw+snXcG5DA+EXjj7Bu1xB2DqKEc7DSd5rDyezoCGxEm4ylGVYwxvfxEupx3m0YaD9K1cGvU8cae
5PLoCvMGbXXHvEwYG9nqO9TSwM+x/zPQqAhdtnNn9ilw0ocijF9cUV+1i3HOXPtZCgM82nMnCEjo
3K/Nmruuu8m8RRILMqzwNnVaBiJV6Waph69gNbIg17KPca3F29o0VhudFmQGwIZ8cemVLCDzNmVJ
LyAWC8eWNGSEl940MQt00PaNPQUKAMJ10ZOsoHGmByMdIREfB4ryoZ4b/hA7uRoy8Mq6qrdlO5XN
Ju4cf6ztsyrEudGtANJhwUEsy/sdXZwIR0IPyWARTs0OPdf9BYN+zJmtkXs+Exdw/nkd3risap1f
taKxQHaB+3Ghwi1296CZdtHuCrclKb3RMqJZpIhptZEOwrewqI0+2aWmJ2rDL7lHVqjoOfTarF/0
jBc+tRmQvO4iFF5Lx8L/1oT+n+7X71+qtY3d/p/1H/7M4YJ1Lu7+74//2f7539FLtXa/f/iP7bdO
+G3/0sx3Ly00nX+xhNc/+d/9zb8a57/txOO5+GUnviqZ0L/qw3/7O3/14VHGEv2MDhBRvQ79eNW7
/dWHR+9IYDRrriQ5Q8ex+EMfHlMfvwUzlYMx0NL/6sObf0ibSCOcpzruJGZwf6cPDxjjVRueXFFk
D/xP4shAB/xqwqRYH40wnONrh3OG4CtTsA2NsWEFVm1n88FhugbVKIviNPETqS4jg0C6nEf6pQ3p
AJFWVRgqcAmZJh1rqVnrKuQkn5fGoP9ZJiv/sFDzRcXpJn9KEEZeVO2if0llNHm+AAcCcwA71ryh
Ph3kHnhD9UiP0KGXXXvDcKIYacbLRtnlFgcH3byZ/Zj+r51dKkHEiuhDIq1n7ULvZ5X4DRleLAPl
Aslibj4OvQFwjp3zaA4TNLkZ+cMLPne+hN8mqJ4bxsYWDyJLu2nHySUShhFuWe8cNFSUx6EqUr5C
STkBptH2Rtobm8rwnsZyQgquQdQLimgNH52pzp8mq1UBRRadg3m6iD2RgGSlRBaCLZb4jE1f5YRE
+bDRLLgrpUHZyA5ARokWsiYwwOUsC4KhF+xKiXWC0dbetARf2edRONZn7sh8JhMiDZsH1N3LsWtM
eJpnp4mmbMs0nBS60Z7UvnFVnG8N5nSXFRiTxMzXMwM653JHg6cYRDCacdzJA8ptEIETbTQ19M55
4YhItRWIlonOtB3jrE85KTBPBncP74tm1wBZEGWyjZ9WYPDJjthfHUdtFDr7DwMelru2BZBIeaJN
XyBfqPSrR5X6lYkvISNXRolATNw71Hw7u0ucqvWVEzrv1ZhTYtcFWIyROO2TTbuEG9VkIZPsHEJr
wtlNYh3OboWoiHFJaHbC6RivUX8Pvp4kKa8lh9fNrDLkHxj9T26aVVs4mQRLkK+5J93oWiRquuvs
3kyoyHLiN7yGHB9SHqKT63aOyTCTux0YkKsOeqmz6+XM/I8ISZrdgmH1uTJU/tnoaiGBPLU2Z01C
Hv3OJb3Ej5h60yOGT3dqJS0OU0b5iey4VBC71H+MU3PogqUyrZtV223R+FIRskRTP0epWewYNGn7
QcKQcrjcZY59lPwYMd2WVSfWWsVNoRuFDsu8O/Y+7GQSC+gRstUbLaf9zC6Pw6hbV0kXplRJXW5e
2G66nMpwYa8GprjJ+viZn5H5h07Tq8+jKztuoSr1pn2hO06LhjELP8ZN7KFzXYY9x05zmwEpO/XC
UY9pu1wBdrVu1zf7OiTvZ+PokqFGLS6XlK07TlQHBBLoyIp0owUllf61QrV/XVlZ9D5SyXJuahOB
65DlhzZnU50TO9qn6ZDtw4QAOtpu7RdjRM6r7Ma7j0wN6Q25wBdu5rxbDJ0UhZSREc2gi2wZrAta
jxq4m3Z8suoKhk8KX4jWoDQ+QDihFd7PSxVh+dLlHWqPHhpPK79qjkv53nE3dtkC567v8s+o0zxm
aqh+Nlo/156fDbZ5r+QIC5fmZ/XZdOfogeYCyJcqa6xPVMvJvmQUxL+htGPu5kYgYRj6dT+Q0a7T
RMsmxjlumqbbcEinnSwj9zBZCJlHRSCH39scqzsrAmfo9F1yFl7cP3TxenLh/jy0U33La02DyZgv
vDHWAisLvQMIYwXtUtbOyW20xGPmkbtfwGjFN17uJjDrq/KLk+geELQZOpEqcCwREWPq1NmCmJj0
risa98hkddpkvN33QqtU4YtxNuhKyjAYO85qOgTDebKY3jhOnVyl+cDK3uvyIyg1tE1xz7B2BI6x
mbBGfbCIENxIAkzuiH9IAtNpxieKdqA9Mq0ujVxhMh2c6bM2lfSQDdl9jSgEg8yq4XoSaEumlyHf
GwxLrheReNcDWLObGXrLTuTMaw0O/mf0yfrKLluyoK0xXO4q4mG3EF/0Zxcl0sbEan6XQtvtaBfH
jFfTXvPBgUVfqQb0QzmQgSeNbtEw2zYe5uUxD+JuHmzfjeJxUxLrc3RHWhiOO9iXRr1EkG81uTMj
YTxGtafA7ljxqQIbfFODFdp0tT5wZ714fgE11t2jH6/TgOzfeNMCdK85Wa7gpqm2fSEG47iAju0D
06hfioIJh5gqD+W6UV0yckgDTdbNxVJW420O2Q/ZindZM6ZKfEYzcXiUwKsuY10Q+WjU6ce8HYyH
FBHhpaNcRnejgD6s2bF3Z3oTZbLbTcdqChPTr0JzRaMl+jUBRtlT4VX1U+SWzQ3lYvhOZWFy7idg
QfHoLo+Q4WYSPqp0D2V0BrYLJExH+hZvTD5tFUydoXfHMl/gBUZO/2iiZifqymzLjZZQTtqWSdiq
Hus3detQBjluWJ1KmDAdFSjpy1Y6F2SgNsLYAq+S3MdufG9O1H3WwFCKIQwTWuYqy0kkwv6MTVXX
giosE7IW45HTtO49zYvFJMRc2OjdUoc/3EZtsrMxTV84iVIPoTMwStWshlImCglrBL03XfTEQu9a
hbXgT1fE//Sx9zL53FRt9bX78aD77fD6X6fg/0WHY2lhOfnV4fjdS4Mnv/tepPLX3/nrcEyYiOlI
QjwYl6Dat9bD6b9yRpCb4EPSV5EZx+MfRCrWH/zCqpN20J+ZqxLlP0Uqxh/ISQipN5FLCSy/fyto
ZD36fqdQwd9irQEg/IRchBft1dHYFUO/JJVrHWhgMS6PKcLSCAbnd/fk5s9/7z+QJtwgVe7af/5j
FTB+dxX6XgK5PCZVvIWAh15npIc9czRZRSGoevwBSFE9FvcprBifk8MGyEQeyXnNmk210OP69bXX
5/XTxakA3DW3HlvIa58shnWa/ZnrHSI0NNnOadCnDJPgupae3aXCqJ5hxSnPb8tEbtplTl4mVOPs
+I0tNznySyCUabLvBngustbqE0n28TV53qUWpDmZy+BF1bYlg/Gyb53wrgAsuPk3PgTlE/QfWri8
SOsd/k4iqjemkgRNewc6bcYWJMmyo+di4o8c58da6uQ0icyRW60g/kjok/pAmhJpSxVR3+RzetON
XRrTTdUyuNCHJdnTqSLWy83yI8iYbIeWVzwUSd/t5nIhKop+TrL/9Wf4SefHS4CgcjVvwcb5yebZ
EovVz0Qm4FJS46bRl9yfhmYm3Cn9+usrofv66Ykj4AUXg3TaQsv7482yBrYkJbjSAJDpwPLOw7Pd
+oTAqb7Vraj4u54xPhm2aLSrvOI/C+sN0ZZloeVcL0qaW1aU1l9grv/GifPG/QPbsSrXIEERo/JK
TOY1LBc5lPVDY4zJHkXHVwUV95C17sOvb9+31JdXX1dwHSCg+OIR1/J6UUg5C3gj7+DBIA39uDit
QQOUd2aeeXBzIYFQAb9ocdB32d08WO4FxocMqYEI72IS3c6FZdW3yJihadsD+lhFm27wBwHYOsqJ
5qryct4nvJuPQ+QA05JMwzWSZ8aF43TERSZl0sx0DVqiaKGewLwnh19/yD+9pT98SlzscL0s6CSu
7XnWqsr+7isV0qrs44U01hGur0+FOx6dKGyPqBpwwGWtwZm8+jrljbaxMnqvvLzpIS/wqw1CdbuM
UI8rRZOUpDOC4UhQ15+EkSVXljebHx0MzZzW7W0jRuNeeOAVaFbndHftMH+gqiESHXnfphvi6TGO
SmNTRsm8B2Ek0iH6yHJGPE5nWddRb1iw/qvqzO4SH8igMLYyspODBs0UYmFSbGMD+WorK/ehCS1S
FrS02JSijjtidcLPBN7ZQdFm0RE3wXCtGJsTYbQ45kXh1vl+CFdB9WCYgY0WKbB7m9lWJ6LqkDVV
9q5r18qxJI25mLVry1PzF3I/GeLlMVlwWSf3Vgju00/tGO5xpuyN5iwA7GKpPwDOKZ7QFmVflYgr
ciN0+KvBWoxSHFS69Ksynt47bpltnIJMGcvz8mM6p9PFwsz42iYVftO5SckBskiI/+zK+hP5p9az
XiPOmcjjjcPsRcs09xIhgQYmMom2mtOcisLmp7ZFvc0M7zgNWnlVhYqG/1SOnR81HH9hf+wZgF2s
93NDw4KWhudqPuGriKcK+cGKbWrbKdaPUVYUF2ao5kctzzpCFMlYvMKAGeZgbumr6OwvAZMEydjK
c489qezPTWi3Nyn3qTzCsCez12nlQ2buyljxRgwQq/payueqbqpdFpOOK9XkIhIxyuaxnBELVVR4
PBpa6O0EaHKc+10cy1sjLAhgL9Rw7CBVM/ybOpcEEeMLCSvFprGFugV+eZkQEsEUAET0EOX9pg//
H3tnshy3kbbrW+kbgCORmLcAamRxpkhRGwQlypiHxAxc/f+AtvtYch87et8LOyyHyKpCJRJfvmO+
2TD7IWiFOAP5Y6CNTahMb45Jgo+v4Zi/JLSBHJO+Fw+Rvi7gLDb9y/mbLKsqhAtldM9s77lHNL03
2la/OPMwnSsr93xotzkohRH7Q6Y0UrVJHHbILmaLGqZA34gUM6vnK40y4EMOgBxAnUSv0GYLb2aO
9gkevyDJtxDpVqiRxTVOTshjKN+nsWtXYTalaUhfrTy0Hcora4Vz7bWaMOXZWt6yqRP3A1kGrl8t
AIC+kFlzuyLiZpvqdHW1LLp5Sqq5OOpGKkD7uF1sbalpX/EUnSgEZ06SoGM0Bf7aJ+idRFZ9a0cz
/pxF+vBuE5j+2Rjb6Vy67njKR6SLY9yQeAz3d0DSEwVWJMbToHN/EZwMX4D3LKaMOnM6/VSlnrOV
2CsiyUoRU7qsba0wIzgVGTXJidKmZmdSBhFkyxD5njGkBx3/6iWdAY4qSud9q+aPWzsKrd72rM5e
I/KQBoXloNnkuqgOty2lOMuvY99O9Y1Y4iLE9zuSUrgIv61lDnSFmSONeXLoK8J3KYZmJ0ZKjPjE
7dmxe7mbsALDQorlau1F97J6k3lLcKO4WVJBRnIe9XbiC2Ty39G6oT2kyx3RadZ+S5w53kM4Oc9J
2lfoER39SRPMF0XdJLc5gQ1BRE4dz4tpI7q8jHcH7U+akC4YZuhufShiU33O0J+FuSBpLdWYCzUL
lWSRU+8wmSrfk+M7PNd9V5xUih74o0e1yEz2npYPqRrGLxta7Lx6Ju9rMZobIyE53ulanlyT4eiB
jYU6zOotyrYd+eS0u9x6opxCazDkTpGLt8PYF9+u9BvAx5srPyO9onuJiZuCNzR4J/ngicM4kuMT
abYe+72BZxWYJbN2hpdYtzobAyriLj00vVyPsLh0uTsIQphVrKCJkD8xR7bn0Wa96kay/MoMPD6n
Y8u+ThfxOQPqKzgym/KgU/RyiCrNuurbWntYeIEk1AqevGvkKN42XS1fJmLe4VjtpH8QTsN/kSP2
0AqpQkxD+meE7lddTpmOM6r60CHfnNCRC+PKmsWhV2wK9FsYeLgVpPGGb5e53DxmWbKvKcfe1dDH
eqRJABMMmlY+WeiQxV0bVd6IZCEeD20zLsmBy+/k36DAVXJBjKRGVjP4bz9Xw+KDxQh0drKNLl5U
Wg0769LFfoU+KLmZJ0kv7v98Fb/ZIP6JzZHMMn+ahDa+6Hce6Ddfxc33ry0NMT/SOb/90O8nVs/6
xdDJPsBVwbEJZobf9wedszE9FiTPR2Pmx6n0D1cF9ZeCRFks8AhBiPVkJv/DVSH+G/aGI++P0/zm
w+PIQ0wOMCvQyl/9QYNGsjJFDAZGtTG5pvlcSmAPw1TZUl1GJzWXpkRvDpsKYufiFKe85clyW/vU
rX30WJRutLKRGvK61TP7VradfZkzDw1UT7dbILsC/F8aLbLNNR0+m11Z3rSuo7JwlN6wp1g2vZGz
i/yXWw0J1chGwUjTBWhWjRva0qyAWGK1F6Nb3uW5qO56zHEPXmVDr6dLnD+j0Z/OpobS3p9bu/os
1BRR65Vo0ldu7T0UJO48EDP7TBfOeiLWeUZW48R3trLWB6EX7cMcG9He8Hj7a9TPO20yeiKpoTHm
ycgxdejzjrh0pOlproqnAcnrm+OUpKt2NYni5kprjAJ2viOBOHlRZT5QQ1+T7WPEo9x7iQNdYank
wZptAsGFSVeAJqr50sYTsLTqPpVU0sdAfERQ+yYUSCCMZn2q+iEPhD5/zWlNQJM55qBW2pheVFpl
9F83VveF/mgwa8V3+KnIs/LGncZkr/XJem6prJJ+AkkVFqPrBFmVczzNIi29o3iI+sQivkW2ke3x
qORYMSxIcCb5o5hq8O+EGslK01N0waWNlauclkfOesM+n2ma71EI37rozY6LVNU1WenTBQRvOeK4
Nd4y06jPKCf7R3y3dDqVuZbvqPxFnss45Z5KMLTrVVdir3RHC6uoqO61XhiP/WL2r9iKil8X2Ykn
OQ5pSC9RdVt2lnZjpM4+tkT/mWvVLIGaK+9OdW752WhTiv0ovggrwMXdVOXrARZDww3Szu9q6rpb
vW/qSzb3c+AZI7EJGQuHOmHN877hJBjaQLXM9L62GlUR4C/PdyZw+H3Vjcwxtqf63UIGHH3RNZqV
LlnR2ZlvoxzdqwqJ1YFzZXNjtnocDIwUcEfrQEhCPO9nXaOwcYStuTREh5B70rhHMN/ie1bF2Z0g
Xpg1Fa+3uZU1jZ9ZkfYN0RXjahR3uueryUbd7TrWcFWltsP+RddIChHK1E6Ae6YV1mf0TuKlnZns
bS8Xu8TshuvUaazZrxs13rdavL6qAnbN14pmvmqsNH7yzNy6dZXpw/PFPHGd6o7ghf5BbkN3bhn9
4g8jNmXWZOVsE9Kw+kmPZcTucPX5HcLfyU9dG1Q5y6IT0Ep7shbQZB9bAcorIGtoWbuNyme2kQYg
vliPVazEbqQ0Z5dqjbjmAVpNh2FsyJ9SqbtrcSbdlnEZ37aJKUNb2caXIi283Ofenl+6KHFif3aH
5dG2cyMOGo4luzXTkyOESHke1rHa/NXOFAWjRi3ZvmqgjbLIwOeg0RxU3mhozp4dvVINSgkOLYGp
VMROktJqsZb1e8GxfSNVyvnaWB2KMtLcooAgIyP1OR67zttlQEgRHDdBtEaqZ0RkZZWS+xltBfp3
t5nvZSH0l7aLqiFA/NI2al/YtSXmawIN3Tnli9v6H+UeKD0ut36ixXZjxrShE48RqpzF/hQ7ZdM/
0HEwjFhFSu7289pI/EVB7+LOaEJzlPn02GZz7H4zYwjOCidYISbrUzlmE85Wt0E+uSfusc/eF3h5
PT9g6GhbHlyYBv8HXP/THLA5d/9+Dpj+dXwrmy5J2+9/hq9pd91+8g/4WvxiE1/14a6UIFJ/QNfy
FwvgBLc6HmG0IJv18o9JgPFhy74EVd7GiA/A+49JQP4CAs5fx7T5EY5p/DeTwU/Q9VZDwC+CsgTH
Ae37GRJFxTXHCP3WY74JG4wVylHa8fOfLsp/QK7/ArptL+IxU1kWn/MvqTt9PWqN5+HFH3JJa6XT
rWHi0MJKR16/+/uXYqz6EbXkpYj4Yac0iWKwfo7nqEt2pCwGIpvHlHatIoX5lmgE9Y24LOK0P5Lc
rx3m1TKpl1zqf3j5v1xOlGsApvi9t3g0QKEf4TC8NK412VIds2p6ot31xaVq8e8/4fYrfkTceAkL
lZDHJEcs4U8IJrjLMohIV0dLn55my3hGRUD2IGmM6EHU979/MbDlv76cKTnfmISQfKSR/PiJjFiZ
eF277mhOhjqD4+gNHXpaec4tNuMCh5oZTQona6x6AYmLNtdXND21fpnTXxwyOUFMypiHXJIhAkG6
75XBWI8eysmiiMnZQKZS+VLpzcYWe37LUHlCVmp8ldl0YD/uf61MFxS07YWkotFrAm3xhpKO3sq4
wRAMnwzwEQ5imZ8XFC8XhAJTTObeVvRhEkn3ZFuY4NPFqX2PoPb7KK6tW6uv8gfbQsQ0mkjvh7iP
b4YRYoXtOgprdyB0CSH4Hm5nPfFAuUanOhJ/Vf5qOsVDnZrfEMjcc6akkJHKhHMj5i/xaCLILjOb
gj5+Z4nVOMybVR1yZVHEVOn0jmTTd1QT6uRkyS3RaxrKElQqpgSUYiKzb2Z4lsDT7OgsY+PZ0fTo
nIEIBNCkmytq/A6/6z3NHI7DRc+ym9VT8VNvYw8dXMZIb4xDB5YI20s0EqJfRLtMzMk1appgSBCM
Ri6GWCsGLwCr0PplezTFHo04Gd7CtHa8J+WMbphwPAmkmzqX5qNNpmp0hDjV3Lb2J7NytJckH9vb
qsY9SwnuLJ+IG0Xx06bDEU6BCbptKRGVykquKIhtr+tCWDtK2kg0m7By8bjL7lRdL0E20Q81LoPc
j2khns0awHIZURppSSqH1wHYhHlLLPpFIxj+KU0QAlQpjYSRXZohXbM4qaZU906rxsk4ipL2vlkh
rcu2u0T4ll/JlO6fTGwnRxSe+rU+GzadDKwFdJLpHkB0PlSAlQlSDeRiKfaAzDHmo9ml3r2w4+yg
GU27tSbWd0BSoeyG5TqembkCrynEnkIp9VrbFnNmagMd6LOVHlrPHK7SaMr9aE3su9Tp9tQv14x7
PWF1nh5/yYY8wcZnvRBpeDbLSAHXT/fNkpMlyqleGzPtYOJpueo7jmlpAqI3DvF0r0VUQMkNgtNF
UxwXPAMnq+kA6D6wOhFb9W35geANMeyDTxWSuDcitbx1G9hXcNNc6NjT6KcGCjRmD8ltwdiE0rvK
93mknFB94IfxB5boafRM1RvAGG1Q47yBjm7ek0C2AZFxFE1XM7IV+p6BKe0NsGSUjrj3S6rZTMGh
KRo4GWwQpwGjd15lsjVuGS5QG1AomY4Z5wYwfNtJ3ozIePE24DTeIFSiQsVRjsYXbN8XaiBiOpSF
6XOi496mJKE364F2WGBZnOV9GG1QrXJ1bHtrdq11CiuCioqwUus7CCge6UTki+9G8XiKtBiBjybu
cW7s+w0cpqMg82v6iQ9rzq8ljEh9anXNKdmeJo1ADUDmQdbGW7cBz/UGQXfzHrzMeLKsxgsqPW+r
U+WM3d2gNcYb+7Z7SjdAW+gJR41t3k4SJNvonpv1JvpAwY0NEK91t7iwIa0nffYmn/n9td0AdLlB
6ROqiACyBxG3SC6IMQ7JBryXI4IzP47LyC9KvbrpSvdUjPJTXtJfLiMdbb7bnk1KB3FKa1EYbfA+
FaJEvQH4ryD/ziDNN+p/m6/ZYEBocFz3fGsjC9gS7Nt0IxA8G+LK3kgFw2U8Jnlw+lxzUka81fLK
wgOchyHgBsL9MW/qPa14gRgRCCugL4w1s0OjQCuqQ/hAdFmFcXA2ysOuWM06USjv5UaI5Bs1Qj5R
kLdO9mwlxOQtXgqDoujJIu1hBtQltntXbFTLsJEuhZHCv3B2HjkyutoRk81WuO18c3QDbGH0+N7V
RuO4mesQqUmHfLWRPK00F4w4S3oELYcb28igYaOFahJ+j9ZGFdkpsclUvMZfXGtXbnRSsSRc/o1i
gg0tQwlBz8l7KZ4MN9YDS+hN4Wt9Lh9NmCp7o6z6JTe/zKOd3MB+ry8dzFb9wXFlG901fBBfGwXW
b2SYudFipEFAkMGUVRtlFm3kmb3RaDwfp9O4UWuemgk7vkLWjqw1lEU3/DZX/G/I/8chX9+mxP9/
iMrN9+lf19/n9Fv944T/8WP/Vm9v0B0RGlv+MlrrP6Wo6MID7kO6DQyDGptg4X9P+Yaz4X0GqWtM
Z8hHNlTu9ynf0H8xOE0DEepAdkS2uP/NlG/9NJeKLSeQqZieE0BF7y8NMApp7zrFVXZp0f0vbybS
UlgR0+nNnUjIa2B3nniQLcgK6q7UTrVMsPIFnEOqYz0RlWFr3fLeGvEA6iEaK5g5LK9Xc2U737lL
HRgVx25XRSh8TIoEttxiWsxHDQjFpW8XcbVErVlQw174ECuM77t8KynFQJdqvXM/1gPE9q6xe0Id
Ho2K7I/AnsZevBbGVKR0yZkazowWa1FVnlNXo2vedXjEjIg3V9Rbq5VT0mePnPndx0Q665aUIYhm
4i7HzMI4mtFg3T11LhL3nQt0VYiXVDn9OhyqZnQprusExThXqZ7CZa1CfUs0OmEd1Sx3liwqJ1iX
KeNHScdevxBi5KTXH6vqfzfgP96AHI7/9gasaT39V/DW1kX6k4WCL4sf/eOYbf1iWmRPo5TajtUf
d9rvR20XM4Tczt9oP+xNC4aa5fejtmH/AiKDqsZC7EJvjc39+cdNaPzCX9WxZNBs95sn4w8Lye+n
XtwneFMwn/yHUzDHz5/OUh5FzqjYHERqiM4MZ4s0/pNYwtlUvm0BJgvjnDTUqVIFENJLCQslxxYA
sR8bSjhd4ST4lfFTmadKVh6uvrVDjSgnPEJ7Y53LfFcjSlJgu7WOf5+q51LQSGt072WKkASgn04O
tOA3PHPNU2/iMcQNwZyKL9k4janOHDJlhUZZckHLKpSAe/GSqH6tOrd5bcRKZQ/hHSnFrJXuXnTE
EW+4hPSb0tvSVeoKLs8fauk2B1k4SUv7k7b9iBGVmJ0BXe+k6r3nAUgOH1QjOLz1nTs/EE3nPZep
Pj/QkGqcIlQBEY/x2aG3UVZ5fa7pGnexoDnde+cKnayMMmekThCJ6RXmvgCb8Xy3oEUbiBHhMe83
BLnYvpRxexS6oT9t++CbI0llrmttOBpjYnxaJ3e+q4y6PXaGgA7GGaXfxFLx+RvUKs/Qi/xqpdLN
SOBlZPbACXTvWUuoNLtkLZ9S9LOvTNEIcGaj5a+Zs15flXRdvi0xP8fxkTfAiZx3O+GEv4PJR3Ub
JZwOB8MGSLa9mU9t5rymmxvNa5EJPjvZmyultJMwbmwTQ3YFf35j5Fp2ccdIR+ySYuynjPpkUHQK
CY4bwne07XrivUSCUM6lZoesa/7Pb19oIWIkgHEaec9y2L5hjlbzHV9p1322lxq3ydREix7OOUfs
UHRYMe+1UvIR6iXjtzQj1em+21EaFljFwHWZMo33mMwadkM2dc1CVO/ElCv1pUVqxDZzvrQ2yrR9
Ua4aDuRp/TWJMAL5Yqy8Z/oLH/q1s9DEJQRykE1F1JPssntnND3Th8LWyH0p5VNFOvkrjuZt1ZYs
9BxDfrRfmpjftEaSfzsJrAbvhEUEjTDfIS/hz04/shpk2/HNekaPfs+DUTq5pj6Y14Xj9ARsxB2L
T5NFEkYjjzbfmZr+3SHpJN6JvtFvkklxEzrezBdcN66QAP/x9hjLmmo5V9hC0yD3sLLuRpYoKm1u
y0vd0CdC/HhknLQMqTpicoP3na5DCoWQRzPpH6R4ED0Cgugjguje59nkJatV47sbt3WyeKgMh+0r
cg0sl6U1NK+u3vHLUFEjMKTdYOeYyAiXcfR2jak3rzhbo+ePJZxqDtc375hft5t9E3m/RvY4P0xY
i4ZgkvFyNxO/fleusr4yE6ih/aa+e2b04ML1dWMYQVO4LJjBEfVVUW1is49bYiia9EA6ABePyA++
bMHGwbNRvRK10h6V1ZQcHAdbfzKnOnrWMjGSt9RlSe1nCm1g0TrcnHa9IJ8HRcDEbk0j5/SSjyNS
JJcdTXMffBb3gxAsMM3gJu9y4k3IUjD1p1H2fGqxsoMAUBknJ6m9y0QpHMIm4hF8Qkv5DTWRQeRa
aG6LCd7pEuMuU8jhQo1gdfZTUlpDUTTO0aY+dk9slXex1IxUCJNEi2885/MatDZM+7VbhmRHpg53
mGyxtPirwY5VSrwiD0s342fLBm+XLuggDfwiD1vM6AnZlYZ7TS/4PRguzVOeg51kPVuGAKR76mmd
5AoSgfXQsNAJJUty9ZqLSB09jvmHqE/kk2Ow5m0mpmjvJrRFPHYI7czjPLBFGisfmBZ0VhStvXxR
hdT0p0hgqD3HtUOOmlGVRXKGJcJSLdAXDqakEnmc+JaKNKJhPJVszYQ2s6Yi12SBL/bK19p2mwiM
9F+s8JWuP6mBeirirSbMPy0hNRsJxnrRu95Dv/ChhR25I0osPDdp7SF0LTnzAhs0cbQbvW3lkMlQ
L3jRWn695PjyHuc4X9LEYnXTXvGEa817JqVCz66QybVHrEIQvh9r3pTYBgLR85nJZNjW/+DY+s2Q
jt4zM63D5xTbtofCVvU47Bj39iLt2N/ajl7GIjG29egtnRs0yvWeNWPli/xtS8s6PS3DxplYSkiv
2uGUuR0iKwVa18JBa/qdaXN3UYLI6XiYuLxGMe8/7rhydM3nqepnPZiV1Sb7j521rhPi1afEVc96
ijH/eaLOOH+xYJHToDC3XUqn2vRgJr315mGD22WDKu/1ZJCBG1fvSPa8U9s028NAIXn3aUdnB/aK
Vb+ZVouNDIqKO9it6ejz5ySp9ORWLslyZPsx0NroMd7mxI9J80CRU6/eVVl1fUL4UjRTdw90Vdyv
GeyjSAuH6qxei595lLbM51bJV1QJ7pp8mNlruScxI7PF1L42SdhhQ7X2e12Vz3Wst2cvotNn8hec
EcwhRvskTfdUe9uDiNir4gmCtSEdaXDvYBBFxL07GvtWEUandL2/sYRRX+HNjUkCjJNPKUGASP6q
6ItCK6XJWl064VlBS6WzcDLuAX8o9VKbjn2/nLpkaAjP8kAb7kRi1oHn9S8V5DSlWmqv2Y5315ij
n5UkfkkEEC+LXTQaz4m6hLHE/Veyq+KTNEjuDVfS82XYiIYjvC1Xcs7oRI59W5lZ0NSyPOq6ihMc
Kg1ZXmZu7PNKjh5ReeteDPjiLcIeCfNxpgWZQwUYtl9sckCOHsuSGgE83jOXP/GuesNcb925d85d
5vGYS2cEBLPW4AyY9E8mOf3XGk6Z23TN3bMjI1avjgDLTlw8iG7WbPKwWeJPc4YrolQgUBFgG36n
WfNbYdbZp8UpP5kZeTCXQnXmvcpJbtP6bnIDc229vTsa46/d0npfE7cHWJk8cm9YZDtFkBV5FEtL
SFWGAGBUI8atHkGd2+BdM03EBoPRZddum2TLNdfLfs96t9qvA0KLpaCQNU6nT7QNEDqZOi1l0tMX
9JWBlWbO11jNy0NiLVWoE2OzN3LKTGVvtfed4LKSZmjvrLmcv2GMfdJIlcRG1nXXbpqs9yV9aUHt
DOW+Jh3mEHkjqLOXmrtYdU/KG8DoW5vJCNWmqq/7NWKLIi4mIA+z2cXMDeehbPWz7FoN/WvdnXJv
MC81gmgI4bnajcDvj2RV0emplLvTiFfyM3YsWKEyv0MBA2LunrU11295CCyMfAQl4Fa1TwXZRvcx
6S1GZVRHyYnwADXLzLoQ9DejpTtaOV8YuYHaawf1FILweDgcLbSUpPlhgBAPeZu5l5oE90/YbLXL
UjYYvjTX4ecmZtev/UjNXBhJCaQ5V4q4kr7+nDG+M94N5ZiyvmX+hOzLPZLZpd0I8gsDnrxOmLvm
fnBI4cnqvMRI6DhvWl5+njWVo9ok8SoY27bba4RVko/qoBsk8ng4iIjqOsvNAbCxZ4cr5AhRmEl/
GivrvUlIz5a9jui0EcW2W+mnBSfoW9SSXRBGdTd/ZiLeMV23TIKpqMIlF/muhyd6ihQ7Cjt/S29s
rae+lkrnKDoc0ATQLWEnAQwtBNzTBY0RQHhjDJk3sJGgMaEayRIPpH4V+i62ihZ9tINPI3tIIx2N
gZ6Vmzd57cb4nc0/3icZ6rzV1Rv8uSM5SDGt4q1fo/A5ILHU2JjoVqNMZZieNUA1l8deJG1ypvQk
JA2DE0iidoAW9TWq1zRM8eE+N2R5n1abJCOytfL9SkD0bkgEf8wcjGNw/p+meHZZ4tSgmNo5hT4a
yQQZaLn/RihufIlVeZOMffeyBSZe4Z68tvOKOD2mgcdykOIz4Xo2MnjOLkiPlFqIUrObQaAYJMzz
rCl9lQQtGpmHTskY1IQUARGyT0aQEd1GvTcxzcKe+bAMtfsaqYJNPcqyqVnYvhfhRb6F8RGgNctq
KjxkQT6pH3eamGJS68RgvOJo5am7pZLaZJi5BoW/yB/LKyUQDu/B2Fc9FFbZu6we6bU7a2AGTVqq
pJhkOwYRezR5NqWqKZaz0Nf5YSFQhyJIjyx8NTGWQwM0/2B++kvmtEeCNnz31hwmBLKtTeD2p7Pz
6MWpZsACEOA3YuimcH3oCEDNYVxay7MUNY0lbqO5U29ElS0PqueUqRJOYWk9tw9lpf7Br/KX7HfQ
OZ5epkG5CCQ9G+iP70izlLYO7PgE6Wg88G2o9IceMOG543CO/lrbDi4TPpZ3kzaaUzMyGVYTOaYH
vWUzDbqu2aZnRtI/gSP/AWcwNhjhzwzx9sa25AfbdrHEAfj9+MacUTQwryo5NjYmFIYEpubB96ap
dWaeZ0ZXPWL6d83TUjNwhDOQX34eTTk+DObodX4yTt4zbk3OOZC+TDR6zwFESxl/6dNg8EpjJDJF
VG/T13ZKrzxRtKFGEgtDhdPO5OwA6bz/dpyABJkfhnU7v1ULnvokSokuGrN1vtuewG9plXuXau3c
PPdJymN2/fvLsfmUfrwaBDSaiGAlhC8AzE8+JjjPAq95mh2j2uNdlnVtzC+ruQ7dZ3NZV0W0nccc
W1ewH7ZPJOc/Wbb+w9IlYZvORx0GHXWn3MDZPy3dKbH1epV9fLRmz0VbXHUxSnxPj+SNDkIac0yJ
mkNqpElMfnG0VuCgXXQTV73+5IpBv4ET5TzyX18WWLbNZmmDiP2lX6QyhqhO8KgfK41Dg5qZG3cU
UnOa2dgT3G6SmXkoV8ZqDZ3+69+/+sca/Olb4eXt7R8ObxR5/XhNqsXJh2pcuSZLwSE609UCjdIp
t8z4QpLFItPTmFwMH06knfTt4EYtsZldjaZq5K1pL2O++iLv4+TYb9hLo4C3f+0ii9NvhWjuHy6X
/FkHwU2Fx8m0qaQHQvxL5n2iaypdRkc7GInFHijrtUrO7rAddaqZe4CN37sQLztqj5VcAU/mMmFx
L+mwPs6ezT0XGzqnE2vVcLoUJv/JLce/Z/I2YtKeOVIakkQKfyKYCxfyNMTpsY5BwAJUfmO8iwkP
PK5LyatbEg0okskFHs3lQPD+8e38D4n+ZyR6uzn/hgr6QKLDt/znSH2DSIh/49AeiDI78LbzYoyj
kvEn7bdJyI+QW03DD5IvaCI04VuhkyCxByfkv3Fo0/pli76HKBKSHYT75b8hg8yPSp//d/Nt8iR8
yjbbIe2NLOefRVIQmE1nz468rCjX4/WQdvHSo3mRgiqa7lrrTaCmkkQ2f3StTPmA5Osr6JmNIiTV
j93YaJcIDH23KK3cU/RSw/+v3XUdV8ekNYazq/AemYVnX9VDpT2qirQbQGNEB6m7Rc+U9uPImeNT
5np9BZCM1kFvVO2XHZEdNrEwHOFWfS+BZCvyXyPjkCn0mLxv0ges+Ijn5No2yvYsPbPxExXdT6u6
nbs63J7UPjlC+lF1jeHTCJQHTmGfdRMWfMi9MInV+wBQGw5Z0wXl2GZBa1TLddTG8W7qRciJC+qH
ZFpVdNqO0Urfg0KtB8SxPMFiedAqq3rxljHbdTgXQ5oEdsXc3rb5Yu545vdvSNDBQp0SKMJqIM9L
m9cvye7gSpmcCXBRY09LH3D11WGp00zT5NILpnrZ8j6akW7o7LZdPIHmJ193CEN1nxmMp7GgCTmB
bATfJe1kQmDqj3XRnTmNXSc6sx9z6cNmxtnRA37wyuFIzA8alEKSO4TMKCBoRhAvJ3iaZ3DXyfJs
9eMSjCTA7Ije6MOeWI+wWIY4aC3NhnIfvpYdAqt5RuFU6elV06ZYTYn8qVdnr9EWvydcvQqHnONU
ygjnK8s+emRz9whSAjeXiJbWSHum4qj2OVJa5HCQSmIMBOZJk2RYbSyXk+RZ9ESsLrJ93R1Dx6GH
Dtbe2iOH5dwwCzOsMFr4lhsf5sEm/wcsaefp2ZcGl+uVImwQUIGIUctQ4dC1E8nG8SExBgfinGNL
gYQ4z9RT3dnP7rxeMjk5fkxuy16rONbqYk0OTlO+rVb2hX5x85DVUQvyPVU7ZA7aWUnvuwlqi9XU
s0LWxCYq8O2JJeG2Mf21GfKQOF822Iuc/rgH7tDXwOwK4eu9dVIy078s5qqjceiuZi3/ui7mvJsT
t9llKbyrVQGarhSMI95mLSD8V6GDPe6YrGTRmMkyB6CXKsz19rPW9YjfnDkKydsggq5e1AERibmr
Dc/c21nZ7glk/9Qi5LyuRFLuDfdr7HXiPMeOCqzG1p4o+yHUfbATM3SKNH0oR8Lwq84WwA7JcmhI
O3rCueCGtC3lDyvKwLDr1uuub4s9YUnTjugSe4/rrwwtKZxdNW8uLqmJuxQaeCeQlO942iVbwYAk
6s5AXONk9knnGEvFhjseYWxOvTXKK44mQ6gByn8aEEDsB5fcXQm8EeBxw501lYrYr5px2crEJyo8
hN9rOmbcUa176rycwBsIxCLrpXrMyd6+izhNnXXgEMtnQk7gL+hroxGEoH+wDpvmjSrfGQsFnbzV
4eIgIuQvapeqTosDGZA3gD9fU8QbOCm2XFCFGn3gsR46K9ezgck4OkmBJcUQv85RQqfXRFnaZmfB
v9s/EjV4YrKxKa1zwIRb68GOMrWD4anxf8+YI6fCDk2TXgWpvG8ECj2kUFqwA3fFQG+CyFL9sKTa
d0rjl33REoPUO5d04u932G0ne9nwiaqib0BrA0RuTbhEjAGJY2CFM9M3VZO6E7ugyMi2js7IRFHk
UOWTO/SBLtxlJ9Nahm2lWFKx3V4v0tkPpXzzlEEqf5oZZJR31mMkkzgoHW+35YtS0pKRvKO+jx0Q
nbMuEUGiGeKmgvQsEq3yfVbIcZcvEB04XpsQpYx7xL98Wxfyi213lyw2aXKw5md36kgKIhYsKBbD
Pg0irZ48b3wpIuyQTeN8t5OJGJoIyeMU4/LWhyvH7HGJu/Kc1qgqrbou4HVszEjtXZFEVRgZiRtE
Sv3atqRIpx4p9NY61AfTxFgS4VfYqakvLjBRBCjOrYtMlXikAtVpZyRfPNqonhZzOWKo169We/Om
U9e8790CjMflFav1/9g7k+24kWzZ/sr7AeSCA3A00wCiZRukSIqaYCnVoO/hcABf/zaoUlXlfe/e
WzWvmVZKVFLBCLifY2bb1k8si7NHOgQAaXMIzUZMFFvjbSpEUh56JeXOrOTzpoZFLqyEm6UbzklP
AgFWHal8Fts7rE9mlFad+04d1GcdK3XyFlDAykJeS8r0oKxRH+d6Ng7IRixXqil4GMvp0Uw8sj+O
s33jNAZ0QxyOEpZeFT81sI73Gh/j3GXU02EDPYvUeIPwn+86uGo2dC2ehUqd/WntedZkPRGX2D3x
/M0ukKhx2Bo85bSPrqd6AinQqYDrrbY8JKyboHu2djg7rTgmXv6mp0xitPQ/LeNAIrLb+gGSn7bR
epeyLuNt1bTunNYVB9l4/l44lXnxW+S0BhY4ZLEmPvSsXCIYwURw/iSFWY8vNC7HmDhZuHU0s85o
ek4LP4hMl34dmfYh8efYPPNy1/Huq3wY4X1A3YNH5nn7kGE5loN96qwmm0Tota4Vv9iKKQDj5LL0
A7kLOTQ8velYheWUEamyYvlkOxXrn/cG7P9aX3p7GrwgzBuqEuWOhHxmpAT2237t+/8YPf61WCXo
FXYV//31+qEov6KI/zVW+euLfscqHWg/AoKhhS8KEmXArfvvscrNguW6Ht6PD8MUv/Xb4rH5rLY1
DbdyC1PGP+wdRCwAAHF5xzZCpuLfuVajOv1104DRixu6FWybKmrYIbT8dabtOUPrGWDCxRkNckNQ
+0dWgVjGRx+WQ502ZxkkRr0bcUXhf+pdRafDKKlg8lyLjdFs9DiXw6oKsvhoKFJtn+DLlTc4bbP8
cXRrKJV95r3L1a0vKc+dm1HnVhQYrC8Qi7Pqgk8X42ARQBybcsLubWfg6Ujb5g6Fpl2P1cLHWNNi
naypRaUIKmHwPmULXQRwOdmkjd3ifp70jJyz0PrFXjxLuSw1+MRszFV1GBBsy75Oo5F+VlhZqlMD
4CI5tLAB3VsWuOmYHIyyMp1QmdzSZzQPVoz6vkyZirwDDs61vW+GTatP56H3QsgluROfcDkT4ttD
UDfJFtQY2cAkAkiDGw2LELXp3rfWWGnusryeHYHQSrEKjSH9cJWfJkLmIo2F+U1rGtTXfZFmkn03
u1fJVrjmwUPLhIJKv+xcxS5/i02DHZ5HDotyR09kR/0h2TxnDQt3Stgn98S6UjJw+OKbNf+O6LAM
kkhkBQwomuibdXae5UzJ0SrmuL/3qtE4m9QWPJogIXcrzQQQgB18Z0Nan1PDmI4J9RXcUVyFIjVQ
QTSRi7uKkt4ZN2iXrwAwseRjuaBjfEmjrEHjIgtb3MLus4/N4FQQ+VnfF/XUQSWpG3dHyH17sM+h
p+gSqKq6iTCbJA/SCmgaScs5csmNRc4obS4n4EiolYmvfaWrNxLxY7srYgDbqzG1D2XuvsC2Tq42
ossjFGvvykAwvaeVP0cJy6pL36bzlfdDgzLaZK9cgOPH0moW8H3tFm1XVOnE6FkRPGnvPgiK+DVt
Z/s0p67xYLBg4gbTG8Fh8nr7NobgQn+aka1cMRmdXlFt5Q7PgPvSuaJ+Rr2nu4aNIg3sjKD2HCJT
enNIffZ6rrnaurtgpK5DcWc66xkysi6L5NVuG/smWAEf7kQr9SeWcgyTfktxGCNKX/4U2nHJ5nkr
ah3qaQ3cpAFNhXXzsc9W79xr+SnHAz/kyrGhUs7ercCCkpAkXct6F/dqesDrY92IeW5OjoN6MeYL
P2tVDv01Ld36tYfOAXbEa/8EiPEmun4Kx9L3L/ykq/3SUm6xDK1/t+JiuoI4SS+A4ftPCVyfzwrV
mv4BPVvf8qY3b4y1RkXrOtu76HIODk7e/iA4E5+ENLs9CE72rTCwn4PCV59NNy/flmLN3mw9ZhuW
1y/eOrydIGX5hLnG2B/ZrFv7wNPjIWtBxTYQTCufey8Cz/JQB7W86Bm8O5tanC+4ugPjQeQcmKvE
rLlj55E91nE+kwNo5z5syAjwLmadm0p/LnfZaAwR/TzLvtGqDXVMZJnXZQQMSZVzYpgMxIO+NGZQ
R+AkrVfHM+yH0ehfsrV/zlvD+z5LMMNcN7c8LnK6h4LRroyGfe7cVKSfb82Rid/NhzjysuQcOIN3
t+i+46OhhucVtmaE06P55ioSnq1em0eueuufHXv3bicMQrZBpVswqonzkqSUHLkdFQKM0h3s8jVI
7ljnqPcRwngNvjLEoUZ9Q8GMHuZzf1FZm3zlzpj9KPUGCp+6W0tR2CZdPUfppABTst4+2VSmw+HW
erm15taPHIDoFGEwH/GJc1LzXuBBOfSNMFCWTL+5FnjO0HVGwVp9E+WnIcM3hFUKt0Za6Xw+WaRy
nxq9rQ2LRNvP0xj7fxYaYNZOZZtpAqpVsCf9sjw5RozeiJb3VeGmuwncmEX+Mm6eP7W5phKaEzGs
+SkZA+0gL2/WjIVN9L2HoLnsEmVjMLCR4NA1yahUPhpku+ADNMC83Q8Zo1OgZROO5vyNgpr6STCV
nBMjpmOeNHSY5DjX0UUD0BjOfGuMFo02fkuGtenlz8ZwvmdtZ90KwhIAODvyt2XAFR0ZhQ857EpA
qv5dYBfFLXxJN9/l67cUFAduobLBeDe/NGb/TBKX9YKgvpa5P0bWc9NDRijvaGZrcO1E3+wN1wLu
6Qx6OCUG/T3FlIC/z2Jmn15g/pWM+UhiBz7v33JG76fOGnSYUn3yKfEET5C0by86Z5TtYUKVd7Ih
iCSHerprajM5UV5NFZpbuePRwWtw5Z0LMsoM9GOG/PG9m5lsd1YrSq49jv9KBa9z4TskQQTUFegU
yyEmM1k9VrFBl461NGdBsD00B3OOaDPIbo0eqKpb181xVLOKQPeP7wBO06j0m3o3ecWXcRB/5h0N
SivH4+2kq4Q09qDTRxAizC1DU0TsoS1KgOfhp4AssFdiUc85JNb9h/ul2SrTHXwmEeSG+JkL9HDv
mt541AGblGXI+gfSQrbY52sAIYWYGu6IPjXOGnNCRv+RrCnnM53ySzdrdUi0X3ynx1Hs6ebi5+r7
X1K//NEX2XC2DY570ytI6Uh+FUsv2C2Qy08kNc2zyU48wplqHfB9idu1NfJvQe7D3StT4zjKGkLr
EJfXfCxtlP48O7Rj3tEfCfdHETg82U4zHLyZm5fBQH4srHS6yaoG02I5swGip9KITPTvcAa+s7e9
of42Sp2FfO+fCH1RgrSk7knDcAkzebc6uj3VTlVgxgisQyPkt85sr0r5XB3YzkBjWo88og3o4MZn
AT1jl6aMYVmxcsMoTXdfmM291/ZXz6R9auiOK+s6ZsRCR2ZaP/kkRi4otMmBWm6a0dj87tysxutG
8H9Yy+QQO+WdXRnGUzCAsSpdFZycJUeut6urUdSPyNvpYazoBlvpAQrdcrkGkxIR3I7yOMBBiMYV
VIKTNIyNqSIBM9nUuBie/WCM+Et4tnufRgc6HI0GWGuk+NHFNDAzLlPAjPNghylUcpAVlMwgF101
i+5vWbWgmhu8/ajpObnzVF9dA0JxMAK3nqQSJBBbdZ6rPiADmzD5Zqt/qcblWmbyixN7L/+RKj5q
C/4XqQLJTDBf/Pez1HOjMM3/v1LF377w9zzl/sHaAL2YOLkk47vNLH+fp8DU4JW3UZId75eb/h/p
9MDBI+pjZmf3/1euKggmhinXRjAzBWGX/+KQ/58c85a9yYD/UCokzQYAXDHtC5e6aQSVTZX7J+k0
MNkPxHFn3Dj4pq7kW6r9yk7tXJVrsfdg40VYR60nu3QnSGnOuhfTEpx94acR3kP9aSnc6sYeSHdg
G/TRDUxKf9jp1yHGOVKLwD/2aIhPSWsTxBonemf6EicUjj5VPGpMiWx5tupYHicUMOU0+AwOIO1q
S6w5BfnGzimtZ6B66a5t6aRdwT7cO3oaPlHRhjGIhE20MCl9Nw2Fic5+oTrkp90ywXixui7BMj7l
pECPnaYPhbomVT1l+aqow/SJdHrMj3iWqgLaO8V2eQlMZtGud66Sudrn+ToS8ouDwzgoO4Rhv7pR
wst537uGNeMuomJmmmeS797c2SlUb9AtKzaPvdlSuNfKTt6avX8qS+upNQmQ22Mg7mD339TxXEX5
zO028THqFSnJSaxT8WHEPxfyhmn2fi162IgFfBAGMW6C9JzUYwX2jB5YTxrepcq5XsYNjZHKoad4
thIKFuea2DynKHJzUa7Pnay7SC/pa8Ad/EVX0j3Pjje914K2tpQaA57ZdhPft/0C8qVsiB5CAiTH
a95MdWyvz3XPRUHtM934xjfSDMJbd9gdjPWgWBnhtKlpkQjZIGMUBC7N5MTEjT3Erv37IMG8x+qL
8YI6nqnTx8oaqHHCVnukuwjMSIam/zBX9fhkeKM5wqA3qnSkXG2wJ/p/M3nrFT31gYLyw71RrJSZ
oRBU5Y7xobg3qCdtDYwR84zK1vzaJTV/Wy0VvzZN/EXb3qn9tYXy4nrcdlLbfqr/tasKhibbVlf9
2PS5vsZjUR3rjgLE5IExhjrIQxCnplqPztr2I6fFB1uE1ipAI8b0QR0BS1PCILGSDyKJ+TdASeF+
8Ep0hi2jO7BUBGUiNqoJptP5qj9QJ8sH9gTRDwRKsdFQsg8wiqEI7eOFhpeSfqBTrA+MyrgRVYoP
uEoddN/lmnRr1DDFP9Uc4tAhoSMBv8Ex9xr/ArXkiyVCWj9oxZq0Ox3KD6yL6lIOGFwn9WXZuC/N
RoBhOgMGwxZ7ee4/EDHcJ+a34gMcAyPU/tJtNBnqDJOHbiPMuBtrhkBNG7ofABq+AfNuNYct1Qmf
Zt5INdnGrHGHvn5lM4/JzPuA2nDMArgRgFTAEEC9STf+jd96oHDksGFxkhFCDrbhEQfCxs0ZPxA6
udxwOuIj6bsxdtRG2+k27o4HgCcVk3wIwJJ+ij/oPB+gnm5j9vznQPxXDkSL1d7/uFx8/FHXW8PH
1zr764Lx1xf+zpA50FVIZ3lso2Ae86u/H4i++QeYb8FB5FpkKOmR+vuC0bH+4D+5BBV+7yX/sWQM
/sC2xokofAHAnOzZv3UifuA9/ulEBNjiOERGYTo6QEYAt/z1RCwre1ir1kQx9OpiidRWUk1P5VaY
ElMTsCUYhM0OkYj2QY9uF+x4pPVnrvjCPKwdIc8wLU0aFrthLGWUoqpCbAV3SKvft5ax8kG77nLD
ptCMnIxhdEcvO02ClTEMeBEXJ1qp7WY3YA/C2KME4Wtm6GWtgKFyPW4jIhuQpeeT26X3uGlMrovr
+hJbW0G5Q1ps3wdAY/csgrtnskqcCWYXdEiNs+l9XXMb7Gwh0IN3jWvDj+X+XUQ8uOKIhupTRsHr
D0OI5Jtejexu5ms+y6XJFWvQwLlNqzLOsb4OJh9mO+BjrGSCWdXQ8hHvVXkzQX97yJp0vJv0gOsg
ztcwNrlr75pxmve+ZoGae0k+cUTRDjMz1NDe62LIZy3L8qClUn4qpf3i97zMAAJw2ipwn5faBSlQ
A05H2eySvRXwyjuZIy56DarH0bDdw+iu1RVid/OYK79/oEjYscC405nCQrkNc3+Nw0Kn3sHiLjSG
iDF3tScSc794LpuUHpJIHtbSfCNMPN6qxvk8yGR8FkTn/aPPPYBcOMGiFtuwXxwpULVf57KwDiT8
/SMxDW4v0xrHd9jJYIfYJhvRpl7vpJyGJzhZfr533VhebNozfg4GNUpOJZ686bEKyjoawIceqTR5
dBSJeURny97ca+p9W4+9EBiZH6Yhl2FQAT8Z/DGU4OCQaMbqaEONveC9g1vZ5vUVtJtzR/z+LWMX
F+E3LaLFVQud2kn8vCjZ0UItq5MGsGY2YqTVPc+fYtWZD8oYvCgmQnVOXAooc9vfU2bLyK7MJorX
psowizTxKQ9iyfFfFT8xPX4TcWAcGod0GWizUjzxJk92AygvwIai2hGwoWEDbA8VJ5aDpC6vDe+2
EOX7BqRGuqv8DiBzOnxeCVfu1pkS0NRyxU4uPt/lkMowUfBWhBIZPJzU+IzbLjm3Zdo9ybJt7xYu
2BePxAkYt3TZ92KeyIj05PymjvcNb1u9m93FOrYLfBZVp1z0TId9devilvAFjrZFjxJabuY0ydF1
qiURLz7w1+wA+0ej2kqxOq6Kcp0mqf+kXapSWwDBFFU+W1Yh9bNE2od4JMkKiFdBm1C+N2We3bi9
6V1JksTp2+ysQHKVyEv7UAcNjlbqmRf+/1N2DynJegtYrpq7ku7WKeyRXIHWiMaQn6F51PlZb5Hx
XcmqnH8NQSSnPoJb7afnKcsc/TwCVmHfkSRGbtOJbk75e1GM/VpH61TU3NlSObCmaGkfjKbBmnmy
qSxJ3iuRJVtNrMj4+RhNxdsTnwzH97IKYgUimzfRWi8e9EP0en/fVfZYJPDqfeddNaCqv3lFIAr3
ndcoUPTJq7G5ANi1WQDXcTFy9avduDjnJrWCNYwQNcaf6kK5oB07G4qrNfbstEldzfv/nNT/ykm9
TaDMef/b6Pr/y3v/7Ut/n9X+H5K/ynPdj0lzU/Z+x73tP2wseP+s+f2WAuUf2xwJwRrqmYOE9Q+X
nW3RsudDZmXnxIltQ2P4N2ZXiFx/nV0dct6mNB28x3wfAof/X09qlVlF3edZA4rME3ofwKjSIT2S
wTGFUnCgSsJRIXRI/xpkNv5eK6uzez67TTRBMvUjjHQE8uLMfkMkWB4b16qfp8GNvwBAI9GLPbYl
ELLKU9tvftdtlL4B+YwHrqibOdQzsy/lmzPolRTh0r71S7agHK0MKaUjbUiKXdntuyBL6IBdFo2Z
gS3qzCcyp025YtlNGnpxDoUxOA+pyOfHIo0disXnydibnWFf+nipGS5dWeeRYadwuKd5wPLQLO6d
BY6pDUeLdKyqbJtz0LfPwUxghCbnbno3K76pqKvi8Qf/FzHtekqZRRgrerdQbLos5S8ul19h3jmu
3R5lbmwKoJJanjITl+OehE/1M+MHfpIxIUOe3aRHxZrF31dXdjBsyRi9tStRE9jZ8/DmoD+81ZrG
EgiamG7mLH3QKq4/tYPfPIwDTUY3DAKJZNdqEftgzoAMXlaliAG0djz+1rT1r5R0LvvObXkhaWtg
vjXtDD+Ik88eVdVr+0Ukvv8Ylxjvd0hTpohiLJk1sG/dHDy/GrCneGfm8vaBAtngUcIXRGYFJXwa
eP0OU9MFtzx9WRqm6ZaVYQM5pxPZepqTmmeCav7VILF3j1mrCvGvSKh2+MequCcb2hTEa5GkLkZJ
0HZWXvNQ9B2+5JWTY+96ubiwE9dUfBfKiTJpyeG0GtXIv5muOrvOuj/1WnXvPQH/N26ajk0fPa6+
UCYQw4VRgfAc05EyLL0E17nlMbwsTvBsUd95pb2VyT6YEfpCCbuJS+mARxnCFGmo1NBf6SVHwhhE
cNu2tpcc1GLCv5rzOjuB4x7Xs1IMsMcsVsatRbJHh9ryKtKfxG7Yp3B9G8+p5EzbJbpVTx5NmugE
9kwU0DeEvRO9677U3FPv0l+hF/sjAUO32haHcT+yMQlkKcySxt9iMx8ZmuUjT9Nt0RrjI2UD4onE
TfGRvnF+RXFw9PqHhC4bIjpxAzztMn5kd8qPHA+EExI8+A0oe615+3z24sR4RpwaQquI77yqYiG9
RYNSMkLxFhailJzcUP4rRGT9ihQllenR67dFjaRtslBeSSOZWxAp3iJJ5hZOGm0Tfvua6NcMbSUy
grS5I3rdYUhlnbQFnPBlWu7Oyy1B2TbvoVdudgmmH5dgVL1FpJoeYwuXY7tqwaQQosq2OBUQXuT7
0RrIWNV8D6fFzBiLJ2WpaBnnmfoBMz9T7iajJaifmtW/HZHizjmyARJPM190RlmwB/9074wppqVm
PtLpZbAL4EmDxSukses4+7jJlswSO6YH7x6t9xlCANy6RB/9MZevou8XVihK7dZFNQ/aN5+EbXNZ
7ld+bANxucTBejmVCFk+KZcDmYqQ22d9Y9bt8CNfvHtzteJ3OEoaQ1FXPtfu5D/kUzMgrsOtdWhF
e6QQ1D50W4pFZ5geHXe9zzof4JPD7TtNh/KwCETo2eCrRLFsbWR905K6W9+bGGWS9OcDO5e7UVNe
gFlgCkGm9ccurvtD7hrmHbKRfnAHJPZsaP4MeNoeqRH291m8xAes5tzmYzmEjQAYSR0D0eFpMrYe
SHGzlMRMlZd8aTJriBKBj7HwyFaC0m52JaugN7Bz+mRWyfgC13jkjaGNY9LPP1XvlseFAOd+7Ill
TcKKv9iFNKhM2LAgbu5UNBP5lnmmpUQX2JMdeVPDsDgEAU6DXYu14diqwrn4FF+Gs2F4V9WmAZ4w
jqa8Aso/soflXeGuHr3cHWsyshhZvve7bNs/dfFr0Ek+srKKMfuqFEShT+lIUzQIySzKPrdEEw9C
TfRyZpZ/qIiYHxuK4t5bHZtv6EwGixuAJ42u13uMGg1uOt2fKrvyrza/cYd73XjA1/XqEbswQxGQ
CU6G1b3nqiaocpzHQlzknCe3QVH5wS6pZUcIOlNeWFh2g7fbxXjgaKRHCUYunCxh39uopwy76dxT
eE7giY5tH1OwV1DqTBVE36KtddhyXsfWHPBPDGwuM4WYbNr9ZvJsrjOVD/d2XtSRD5XPVSVvA0cf
zNkawlmk22jYx7tpcIxzj2z/w8bT8YPoKlEO8uuE9scY12pPuOVSe5zY0P87UMwyEy8NkOCnFJ3/
O2TkZN8yMN92sfXFCNTPLKuTz+wswLAttRkOjnypHWkQlB2K0LKLrTSIeOC6dPFL0jvH2c6/xK76
5ludPK4NO+41xhNkZ8vnhfV5RC2KhQW7/9pVsO4m2zwXWA0YXKz2R0JnHlQMo4lIKuSnyWK/GlqY
mfegY8VjSbhxXwy6uNbCva8TiiyqtVf7arSQA60EqS/Uaa9p+hLVer/FDkgaDN8pj/20NBFXKe4X
mA/FTtsTcU/gDhG1IIi/9FATmJTddpnp/HB0IKXPnHJ7inCyr1ZRfDIsF/sL+LkvqeURncl870cv
evZw4icISozaGYlXw3uvCdejQYKXmAvTuwRLvN62psLPY0NyTNaWAld1AS8e8+xs2z1QqSLyk4kS
3HmpzvbUwsBGr8td8ZLppbgtec+jCuJ6FP0QHK18TEOomUdKatpLM87PzpoOB8rDaxw7G4YzX7+P
3D/D0VbNc+wzEGZofhj1K3vBfU/zpXQbts31UB3oqqx2veF/ixPrMxH1+N3spP0AZoi4pS+Rukfe
V/JbZVXiDHtk2LeUq97QG9rcqM764VU65F7wnYAd9eo0jragdAZ98ls2JYPTOvusY9ky+W565Mbi
PQljSaK01PnB5Pb4YNVe/NhTztjzQ6eDGJ6DeZ8ugxOS1uMtKvwkWtIZR7HIxb3d5i8zDUZP8Zyq
I2ZLySLGqpsnlaomzAdWAjRhSrxIpBlmLAXd4EaDu76O8Cu2y2Yn6ofGG5PQ0cGN1TY/wZhj7WSl
nhrmQ6yHh7VkNE3HIewxEudt9aUvoauvw/xJD+qxFSOOkvqO2xqecXeFUDgSUadPs+AOSK4BQixO
FqqXpkjamQSU6jnyts59/9atOgjbxHOtxYOPRpZ6fbT6urj5z+D3Lw1+RP3+R83y7ccw/p/XrE+Y
dP6yoyVetX3l77nPo7yRoY9M1MectsG8fg9+wLExt/nk9Ihbmh9uz9+ipfmHS30kuSqPHkkqNpjX
fhtBvT+ognTJFW/xK5I0wb8z+bk+g+c/q5Zoptu6l9gpG1quhv81gJssji6phErPQwXDofFr7Hc1
18MbGxJMVDoj7scCONYTK9TdUiUw8bI5o4VX6FOR9gYtwLHyDv0Y9M+Bz58JwGi+ZtAcjmSrN/qp
CjZmJXRitlxjEc5FKs9DDJrnoHIVQ0YwHI1Dzpel3DmFdKMpoJZIttV86rCh1MTiGbiWpId27Ccv
PBC4D0+ScEbg5mTU9asYypjEEaj6lxV9g49juRyyyTCj0cnVNdGNuIxNzZQGinjLGxklTUlGzNIL
RM4tX8Klku0S1dCNcc3iNh+idM71qbdhOKx6qXczNK437NXTTW6byydgqPYBu3b6aAWDyxN/3f7l
pDWGvVW5JPRZTR1cT1IvnOqlek5SST7IntmcDvy2Z3bihrrpF+4ZcpMtpzvfWaBhlGNo0EgbJdzt
WfxlzvhctLn3GDcCFLTDZMGmGeIQ8AnFv7j0jTUKVBxQxzCBQmgnsXOx4UZ8z0VkDyPV3w0EY8vw
PPoP7DdVFO1JMMB5Dks8odIH0hfTGFkL1pLIQw8KHamdXV0mq0PlVj+BTqldVEQ4PDzyx1MAYObF
GaiB2tF7LfbGZBHVyhebB/9QS34eUt3i8DmNufnORV3yGMfDQpfUa1wv5iXQ/QueUYdR0Ky/sOJf
LiJtPcJ86OCygKcrRsl+LEmeBgfzazR5RCgAWXT3ZU0ggVe5Sr1dWzUuVXmD+1jYQGMNGO3vcR9b
VwJ++V4mLuLz2v4YLTshg7Ks7j7usuRx1flwmQOy4LkLKIPaFWZXzs5SuOzsayO+Cnv8nAxNHUrU
szMP2Di5IWpXTtc5SJruK9G74YupO64yTBJXt2rlzVag+lxQcx8BJ1a3EoOcG45TxUum26q/Y8D6
oiGE3RutZewtbf5w6uqLpzWX9QpRGWqqo3YlKZ0H7uliiKp+8d9h0KhPq7EdRVNc7l0AwSpcK6Wq
k+komR9iF7ExLGutv6TJ2pgRdqmM2wrnFIGPvEcO4ae8lx7YlGyrDQFduZL4osj4tu2g+XPRW+Lr
1FqPWor3dQjezV7tetMO9r1nVu0pcDN4wY6Xdv1xQqw9monlvsEl+kQK/IeJn5DRxyvbfc9t6CQZ
CfyHtMT0CAgwYxPqWqeEZ84TfwOkG3tI7wfiJkSt9XkWNbuFxnXSOVTJoK27IRjW5OjHIK5C1bfv
VWYwNPeAZ/mWhgPU4/iRCzWdcV3BphpyDKRbdz4oMzgy+KfwrNapu1qrxa5bxQIVGQE2v2GDi1k5
G+jm2M1sTu8GIjV7z27Sc1rFYt+1tNq7HpYrAVPjDcD6InfjegM20yDeOKTHAqAzCG/LOMiYUScw
F32oHWA9CZrFZ7j2S1Qx4dxAID84+Ap2G7VOAaZzih1EFXlFPyoIynO7RRyhPH2i/y4HK37JCxvV
Wan2OMHwDidRJXd6YjMUqnwL8gAiP8vR7+9m7jeQm6JUlTe41ZOoKgdC6BmOqf1s2NUhb2/cZf7M
DsONmn6wzjMX5b3kT92U0mzuRGl31Hk5BiNDh85t0oEmbe+Mg9znSdV3Vzvo7U++JAjnkkCLUino
pl7adTnGRtyQXSuL4n3dGCjO7IFldwSzWT99AcSMqXZSGOixyfUH1E8G0XW6L9dk+UnjJr7QyfMO
hGGRriizVsc5Hr45YKsjSNp0qaQutHkSveocV0sZNuQZb7NSfeFgcREGy+lUr/QnYTJtjHU3tlpj
Ba6y8RtkO7uEOecNt2DJsWsn4jlBLsXVWoFHNT2s8bWfH+ker3bpClMRXt4O2dRH/moWLpcG6b6+
xtK3bHs3IJdnVxN2dD3fvHFHXPmc2P5hIBZ0q9jfQJH1sv1slU/xdl3zhsQ76jYA2B332U+VsQEA
XuM7O9pSnFCLqYwC2+rOXcAIQdFy0UXmbD/2tCCwmrQgzPARvUvbJLvPuGKGBUyoEEhsEEmMDBeQ
dvFBq+5mrqqOpOI8fJdNP4dJ1QJbKcv2drSpYVyVk577NfiTiHJ1TiSGzgCFTxX6z6oikmmKReA+
57jBg3r2+yE5KV3aURX79xMVrnR+MlJWBG99Ncmrhu546PHYJkv+pMzBuOo0f5x5XS/xLC0+jeV9
4lXrYSa+wdGYYUwFtDK4xGsHGuuhzdU7ORHh66l9e4Fwsuy04nV96tBJ3Muaj4u6wzWaNGiPK9Yc
60MaGU17YUEHpA/RxK39leKgOGjX5yozA+Oz/pBaMs/zVzaBKDDmLzUG831JoNQbhVhONAk9S693
czbDK1eZAT/r/UQSlbeVZOWGSSJvcEL01Y+lAX+/w43SPViNZaRRC8/uzW7V/FY15nzxxlwwldTD
sVsMTUq28mY3FEsxXSgk0Dz6y5rXYEpHyPYmdq6KJ6ZPZuLrkvs5ZRIqv1B8rWwQCF715K8qu1Rm
NURkhfaMzPqwWH7yvbOUgQcS0XdY/O6Aw0ccbPYtQO1qHq9FZ/MCsdGZD6mZJK/4pNrIy5G/+rZg
RAkq2zll/epM2MsYYHSjhGbcs1dNkK21b/pWVel+pPaHVLe1KGoZObnMAzIbA76/pD4lWx45j7WA
zbcMsEuj1R8mdTbTRd3QO2XQkNuRRDBjU+ExtZ3gQRC4HsNmXLvswKALdc+nRiMixIxKimXlnQRs
Cq4lN/Orn/bdE3QxbOWBu2SskAJ5HFhCHwCyuKdVpPO06wqy7OCWew+UUr+Mb2UQBFGMZnhb5X4l
dyU62+fVzggND/Joj4ishLVHPOB+Dea9K7IYodcmkM7Onb0onIC9PRsY3BYXgCU3oI4ZFNjtGaXb
fGN/klOGhGaKImrjK24Xp554u4wmq7Nx/MzDe2UtNIAFCMSfDlZgPtjSZH/OfavDDE2Dxy7oievq
Uf1f7s5lOW0lCMOv4srelO4yi6TqmOAYOziJ45wkK5cCMsgISUjiIj/9+XQjDBc78WhBHe0MuNXT
M9Mz0/P334/ZeTw3tU7KtTkVnKzx9FMwo6hbx5qM593UHPdJ8CBotZymH5dz2+xBoBZlnQCi3y+J
H88n3cQM/A8GFwddWAJ0yDoSCM/8wMiGq/sz8j7Zc3+jDpN9fW+MA6uT03vARsfW7P39SB21+1My
7TscBX+kgC6+Z9SEPLdGpgFIiWKV2spUerGWPQF7A+f2U48MYtXQ58ZwaNv4AdK4+z4M+a5GCYYO
KaGqgz/1rrzlKeho2LJ+LCj0lpEQPrVJnOS+g0K9RC1BF5HAnQWpfgu4Q+esvARsC19Kd2Jwd9Re
USjEXC0W10/2Ykn8bbS8TQChwW+9XHUeSbc+DwFYOUTMSDbWwtC4UL2QaH2kRnF3pi1Sbv1XZCDd
pzMQ8mRxawvFHmoUNv8Ywe50c0aO5NdoSQ5eB3/++ACzaHLXDhT/x0hV/NF78MHtqzAb3V951KK6
UqL72YXNeL1WZiML0v+UiL0ShT3tiRSV0yeIXFTbiLoZUAb2/gCjTfOe2rx2Op7gmqfBxdICZgwZ
cdBbKezFI25J7mBJ0i9OlbibRjPwGqN4fP74OF3cPEJkc42TWEBNM2ay2Iucmh/Pp09irzM+nUXd
SV5+JSO/HcTaIpudh9OEuR5DHRN57FHITZuxgUr9wXhimU+XZKYsiYDMrYdFGi6H1pTkg07kt1f9
haat9ItlbIQX/6/zf8UTk1e97Bbn+i9zN85uXWga0zV8N//2c+gF6V34uh/Vd6v7BVXlNksU9ACW
kDTXYOSFgUDCnzPmCxfJhUqFvs9J8J3US+dD9+0bvd0yqUdjg2KGfYUHDJkPFUn1NYUBW4rKeR7m
BJwjT/nCDRMdMsLz7Sut+fxvhBY4wylVUDwYFrxBumkDPadw+TMrbMn4bQXDbpGighmIjRQPOOtN
K6ga2DcT8JrCfXv+lC88IiuAu7OkraBBs9PWgNeBkc6frbFgmy3iUApb7WosQKzG4DsiK+hQvv3h
jDg8FkBA6hAM6xZVI4pHHAtnABrB/psmlS5qKx2XFSiWsRNnPOAXDltBaakaKRaARA5ZgdfA73RG
jb7KSsdlBQhv5WeEzoyAIwmg5bqVu36BWgamgcc4rvarKrT3kn5RA2HESFcJApYPLmaz/WdaC0Cu
bnDXdaRzQddhGpO0gm5SBgNeg7xAZPFgVsEKVgsaTCCPEC8Uz9GtDhA8a6WzLqt1rPccuzuFgx6B
nQLkjTZUDOZeK6iq2iKEUVUQOa65gLOGgw6dJJpvtzQSxKy22l538uYgIMBDkVMoEkH3HadDJFVH
3c4Q+OtlgToysPZB7FA1kqsn0QqsnqyMhLLKWXdEmwNy8qTnwFmLOq0mqMbfM11ovmICyYTl1CoN
fUStJ7dQl3aEuAB2wWAjq63RTu9b9L5JEdXKU/6FI/wDU63PXp2x5w+LU5fnJvsOZ4d+UDuA3e+r
s0Zv+PaNtgF8LX6YH8LKd7vra953gp8s9sAbX9Z74s1/rxq4++q9StUfXnpu7MQDcPHFqys1b5wp
Z7d/fOeXI7IFcTph5P3W5O0bQc8NH/iC4GTi1HJym6iKAXxXWi4UIqFYwUptG4xKecETJ0icpJZU
qEzGdv333mTi9XLwnCk6ju89hPHWfXy5nshq3Qn9MHaGQlm90knJSw4Cd5B60OfVJshNQgA4RxGs
B/HrRsd713eWjljvmwLeDRi7Pt6fhA8nGGc+/SXCINqgyOX1v8Dq3lAc3uVeWdYyH9wQ7IYomYWC
E6ms5Ess7nm1nGJ465B51R+8fnz3hjCO1WIKueUuQVbhHhXDYIwUZ2R5LpUWHQw9Z8uLGKQq1q2Q
MEa4FDsPJmDOdbIKX+/6JkvVGpgv12g2H0yyWsWi//IoVf3B603xMZx7yY6Z2xz05GX34bR3azGF
zgCWGtC571A3wAmGm6I1Uloa6MK+kyTOYDxP3DQVxjS5FUYTJvEGY2/kiMFdjhQNzPC+x1qQbBN2
c0ppYMJQGgS6I+ogRoJv0lRo9eteeP0YzKWH83hbdCOKh0G65UM0FT5yeaVv3F+xs7V70jTgJ02I
XjjiulVt6mUdVF7h99KhCB/sEcLERH67gdmTy79y48TNaiPks56Qdc5n0oTyh8sTS+51cs1/hvGk
VrPSOw8sSutdcOnvy/LTqqqusrq/QNYvKf7T2BM2DnmBkQac+HMcqLIaxy6UhnXPFV1Zxohlu/Lz
C9QKknrfjsOhe9JLdtY2Mj8b2Ft+LZiS9g3EOt1UUv/yBYepmCTF32F9N0lcwXNVcV/Znr1zV+Kp
UscmDRxYv6XOeHMgVgFaWXX/dWMoC4QzX17hpoG1eC8qnTuyBsbfd4d1h1QYcWpW17qyFnkRUi85
+L57ySAMoKMUerO8hpTWPYOxIRiJktt5ZZ7nJe+LNK2vaXfjT/VV/L5/E4Nr+S8GvuvE7/4DAAD/
/w==</cx:binary>
              </cx:geoCache>
            </cx:geography>
          </cx:layoutPr>
          <cx:valueColors>
            <cx:minColor>
              <a:srgbClr val="58BD77"/>
            </cx:minColor>
            <cx:maxColor>
              <a:srgbClr val="235733"/>
            </cx:maxColor>
          </cx:valueColors>
        </cx:series>
      </cx:plotAreaRegion>
    </cx:plotArea>
    <cx:legend pos="t" align="ctr" overlay="0">
      <cx:txPr>
        <a:bodyPr spcFirstLastPara="1" vertOverflow="ellipsis" horzOverflow="overflow" wrap="square" lIns="0" tIns="0" rIns="0" bIns="0" anchor="ctr" anchorCtr="1"/>
        <a:lstStyle/>
        <a:p>
          <a:pPr algn="ctr" rtl="0">
            <a:defRPr sz="1800">
              <a:solidFill>
                <a:srgbClr val="48B269"/>
              </a:solidFill>
            </a:defRPr>
          </a:pPr>
          <a:endParaRPr lang="en-US" sz="1800" b="0" i="0" u="none" strike="noStrike" baseline="0">
            <a:solidFill>
              <a:srgbClr val="48B269"/>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18" Type="http://schemas.microsoft.com/office/2014/relationships/chartEx" Target="../charts/chartEx3.xml"/><Relationship Id="rId3" Type="http://schemas.openxmlformats.org/officeDocument/2006/relationships/image" Target="../media/image3.png"/><Relationship Id="rId21" Type="http://schemas.openxmlformats.org/officeDocument/2006/relationships/chart" Target="../charts/chart14.xml"/><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24" Type="http://schemas.openxmlformats.org/officeDocument/2006/relationships/chart" Target="../charts/chart17.xml"/><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chart" Target="../charts/chart16.xml"/><Relationship Id="rId10" Type="http://schemas.openxmlformats.org/officeDocument/2006/relationships/image" Target="../media/image10.svg"/><Relationship Id="rId19" Type="http://schemas.microsoft.com/office/2014/relationships/chartEx" Target="../charts/chartEx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 Id="rId22"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133349</xdr:rowOff>
    </xdr:from>
    <xdr:to>
      <xdr:col>7</xdr:col>
      <xdr:colOff>438150</xdr:colOff>
      <xdr:row>48</xdr:row>
      <xdr:rowOff>123825</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0" y="133349"/>
          <a:ext cx="4705350" cy="9134476"/>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potential question/insights mow</a:t>
          </a:r>
        </a:p>
        <a:p>
          <a:pPr algn="l"/>
          <a:r>
            <a:rPr lang="en-US" sz="1100" b="1" u="sng"/>
            <a:t>sales trend report</a:t>
          </a:r>
          <a:r>
            <a:rPr lang="en-US" sz="1100"/>
            <a:t>: trying</a:t>
          </a:r>
          <a:r>
            <a:rPr lang="en-US" sz="1100" baseline="0"/>
            <a:t> to find sales made over  time</a:t>
          </a:r>
        </a:p>
        <a:p>
          <a:pPr algn="l"/>
          <a:r>
            <a:rPr lang="en-US" sz="1100" b="1" u="sng" baseline="0"/>
            <a:t>how to</a:t>
          </a:r>
          <a:r>
            <a:rPr lang="en-US" sz="1100" baseline="0"/>
            <a:t>: revenue * order date</a:t>
          </a:r>
        </a:p>
        <a:p>
          <a:pPr algn="l"/>
          <a:r>
            <a:rPr lang="en-US" sz="1100" b="1" u="sng" baseline="0"/>
            <a:t>p.insights: </a:t>
          </a:r>
          <a:r>
            <a:rPr lang="en-US" sz="1100" baseline="0"/>
            <a:t>helps us to finetune the months ,days with the highest sales/low sales</a:t>
          </a:r>
        </a:p>
        <a:p>
          <a:pPr algn="l"/>
          <a:endParaRPr lang="en-US" sz="1100" baseline="0"/>
        </a:p>
        <a:p>
          <a:pPr algn="l"/>
          <a:r>
            <a:rPr lang="en-US" sz="1100" b="1" u="sng" baseline="0"/>
            <a:t>top 10 customer : </a:t>
          </a:r>
          <a:r>
            <a:rPr lang="en-US" sz="1100" b="0" u="none" baseline="0"/>
            <a:t>finding the top 10 customer out of all our customer</a:t>
          </a:r>
        </a:p>
        <a:p>
          <a:pPr algn="l"/>
          <a:r>
            <a:rPr lang="en-US" sz="1100" b="1" u="sng" baseline="0"/>
            <a:t>how to </a:t>
          </a:r>
          <a:r>
            <a:rPr lang="en-US" sz="1100" baseline="0"/>
            <a:t>: revenue * customer name </a:t>
          </a:r>
        </a:p>
        <a:p>
          <a:pPr algn="l"/>
          <a:r>
            <a:rPr lang="en-US" sz="1100" b="1" u="sng" baseline="0"/>
            <a:t>p.insights</a:t>
          </a:r>
          <a:r>
            <a:rPr lang="en-US" sz="1100" baseline="0"/>
            <a:t>:helps to find the top customer based on revenue generated </a:t>
          </a:r>
        </a:p>
        <a:p>
          <a:pPr algn="l"/>
          <a:endParaRPr lang="en-US" sz="1100" baseline="0"/>
        </a:p>
        <a:p>
          <a:pPr algn="l"/>
          <a:r>
            <a:rPr lang="en-US" sz="1100" b="1" u="sng" baseline="0"/>
            <a:t>sales rep :</a:t>
          </a:r>
          <a:r>
            <a:rPr lang="en-US" sz="1100" b="0" u="none" baseline="0"/>
            <a:t>analyzing the sales made by each salesperson</a:t>
          </a:r>
        </a:p>
        <a:p>
          <a:pPr algn="l"/>
          <a:r>
            <a:rPr lang="en-US" sz="1100" b="1" u="sng" baseline="0"/>
            <a:t>how to : </a:t>
          </a:r>
          <a:r>
            <a:rPr lang="en-US" sz="1100" b="0" u="none" baseline="0"/>
            <a:t>salesperson * revenue</a:t>
          </a:r>
        </a:p>
        <a:p>
          <a:pPr algn="l"/>
          <a:r>
            <a:rPr lang="en-US" sz="1100" b="1" u="sng" baseline="0"/>
            <a:t>p.insights </a:t>
          </a:r>
          <a:r>
            <a:rPr lang="en-US" sz="1100" b="0" u="none" baseline="0"/>
            <a:t>: finding the individual performance of the salesperson by the revenue they generate ,the top performing reps and underperformer </a:t>
          </a:r>
        </a:p>
        <a:p>
          <a:pPr algn="l"/>
          <a:endParaRPr lang="en-US" sz="1100" b="0" u="none" baseline="0"/>
        </a:p>
        <a:p>
          <a:pPr algn="l"/>
          <a:r>
            <a:rPr lang="en-US" sz="1100" b="1" u="sng" baseline="0"/>
            <a:t>Sales by Region : </a:t>
          </a:r>
          <a:r>
            <a:rPr lang="en-US" sz="1100" b="0" u="none" baseline="0"/>
            <a:t>helps us finetune the top performing and under performing region</a:t>
          </a:r>
        </a:p>
        <a:p>
          <a:pPr algn="l"/>
          <a:r>
            <a:rPr lang="en-US" sz="1100" b="1" u="sng" baseline="0"/>
            <a:t>how to : </a:t>
          </a:r>
          <a:r>
            <a:rPr lang="en-US" sz="1100" b="0" u="none" baseline="0"/>
            <a:t>region *revenue</a:t>
          </a:r>
        </a:p>
        <a:p>
          <a:pPr algn="l"/>
          <a:r>
            <a:rPr lang="en-US" sz="1100" b="1" u="sng" baseline="0"/>
            <a:t>p.insights</a:t>
          </a:r>
          <a:r>
            <a:rPr lang="en-US" sz="1100" b="0" u="none" baseline="0"/>
            <a:t> : revenue contribution percentage by region.</a:t>
          </a:r>
        </a:p>
        <a:p>
          <a:pPr algn="l"/>
          <a:endParaRPr lang="en-US" sz="1100" b="0" u="none" baseline="0"/>
        </a:p>
        <a:p>
          <a:pPr algn="l"/>
          <a:endParaRPr lang="en-US" sz="1100" b="0" u="none" baseline="0"/>
        </a:p>
        <a:p>
          <a:pPr algn="l"/>
          <a:r>
            <a:rPr lang="en-US" sz="1100" b="1" u="sng" baseline="0"/>
            <a:t>sales by product category : </a:t>
          </a:r>
          <a:r>
            <a:rPr lang="en-US" sz="1100" b="0" u="none" baseline="0"/>
            <a:t>helps us finetune the best product category by revenue generated</a:t>
          </a:r>
        </a:p>
        <a:p>
          <a:pPr algn="l"/>
          <a:r>
            <a:rPr lang="en-US" sz="1100" b="1" u="sng" baseline="0"/>
            <a:t>how to : </a:t>
          </a:r>
          <a:r>
            <a:rPr lang="en-US" sz="1100" b="0" u="none" baseline="0"/>
            <a:t>category * revenue</a:t>
          </a:r>
        </a:p>
        <a:p>
          <a:pPr algn="l"/>
          <a:r>
            <a:rPr lang="en-US" sz="1100" b="1" u="sng" baseline="0"/>
            <a:t>p.insights :</a:t>
          </a:r>
          <a:r>
            <a:rPr lang="en-US" sz="1100" b="0" u="none" baseline="0"/>
            <a:t>helps to finetune  the product category that contribute the highest share of total revenue,product to double down on.</a:t>
          </a:r>
        </a:p>
        <a:p>
          <a:pPr algn="l"/>
          <a:endParaRPr lang="en-US" sz="1100" b="0" u="none" baseline="0"/>
        </a:p>
        <a:p>
          <a:pPr algn="l"/>
          <a:r>
            <a:rPr lang="en-US" sz="1100" b="1" u="sng" baseline="0"/>
            <a:t>ship city by revenue : </a:t>
          </a:r>
          <a:r>
            <a:rPr lang="en-US" sz="1100" b="0" u="none" baseline="0"/>
            <a:t>helps to determine the city who generates the most revenue through shipping</a:t>
          </a:r>
          <a:r>
            <a:rPr lang="en-US" sz="1100" b="1" u="sng" baseline="0"/>
            <a:t>.</a:t>
          </a:r>
        </a:p>
        <a:p>
          <a:pPr algn="l"/>
          <a:r>
            <a:rPr lang="en-US" sz="1100" b="1" u="sng" baseline="0"/>
            <a:t>how to : </a:t>
          </a:r>
          <a:r>
            <a:rPr lang="en-US" sz="1100" b="0" u="none" baseline="0"/>
            <a:t>ship city * revenue</a:t>
          </a:r>
        </a:p>
        <a:p>
          <a:pPr algn="l"/>
          <a:r>
            <a:rPr lang="en-US" sz="1100" b="1" u="sng" baseline="0"/>
            <a:t>p.insights </a:t>
          </a:r>
          <a:r>
            <a:rPr lang="en-US" sz="1100" b="0" i="0" u="none" baseline="0"/>
            <a:t>: </a:t>
          </a:r>
          <a:r>
            <a:rPr lang="en-US" b="0" i="0" u="none"/>
            <a:t>high-revenue cities may indicate operational efficiency and reliability, whereas lower-ranked cities may suffer from logistics bottlenecks</a:t>
          </a:r>
          <a:r>
            <a:rPr lang="en-US" b="0" i="0" u="none" baseline="0"/>
            <a:t> or weaker demands</a:t>
          </a:r>
          <a:r>
            <a:rPr lang="en-US" baseline="0"/>
            <a:t>.</a:t>
          </a:r>
        </a:p>
        <a:p>
          <a:pPr algn="l"/>
          <a:endParaRPr lang="en-US" sz="1100" b="1" u="sng" baseline="0"/>
        </a:p>
        <a:p>
          <a:pPr algn="l"/>
          <a:r>
            <a:rPr lang="en-US" sz="1100" b="1" u="sng" baseline="0"/>
            <a:t>city sales performance: </a:t>
          </a:r>
          <a:r>
            <a:rPr lang="en-US" sz="1100" b="0" u="none" baseline="0"/>
            <a:t>to determine the top cities who generated the most revenue</a:t>
          </a:r>
        </a:p>
        <a:p>
          <a:pPr algn="l"/>
          <a:r>
            <a:rPr lang="en-US" sz="1100" b="1" u="sng" baseline="0"/>
            <a:t>how to : </a:t>
          </a:r>
          <a:r>
            <a:rPr lang="en-US" sz="1100" b="0" u="none" baseline="0"/>
            <a:t>city *revenue</a:t>
          </a:r>
        </a:p>
        <a:p>
          <a:pPr algn="l"/>
          <a:r>
            <a:rPr lang="en-US" sz="1100" b="1" u="sng" baseline="0"/>
            <a:t>p.insights </a:t>
          </a:r>
          <a:r>
            <a:rPr lang="en-US" sz="1100" b="0" u="none" baseline="0"/>
            <a:t>: </a:t>
          </a:r>
          <a:r>
            <a:rPr lang="en-US" b="0"/>
            <a:t>Higher-ranking cities may reflect better sales productivity or stronger customer loyalty.</a:t>
          </a:r>
        </a:p>
        <a:p>
          <a:pPr algn="l"/>
          <a:endParaRPr lang="en-US" sz="1100" b="0" u="none" baseline="0"/>
        </a:p>
        <a:p>
          <a:pPr algn="l"/>
          <a:r>
            <a:rPr lang="en-US" sz="1100" b="1" u="sng" baseline="0"/>
            <a:t>State performance</a:t>
          </a:r>
          <a:r>
            <a:rPr lang="en-US" sz="1100" b="0" u="none" baseline="0"/>
            <a:t>: to determine and know the states with the highest revenue contribution</a:t>
          </a:r>
        </a:p>
        <a:p>
          <a:pPr algn="l"/>
          <a:r>
            <a:rPr lang="en-US" sz="1100" b="1" u="sng" baseline="0"/>
            <a:t>how to : </a:t>
          </a:r>
          <a:r>
            <a:rPr lang="en-US" sz="1100" b="0" u="none" baseline="0"/>
            <a:t>state*revenue</a:t>
          </a:r>
        </a:p>
        <a:p>
          <a:pPr algn="l"/>
          <a:r>
            <a:rPr lang="en-US" sz="1100" b="1" u="sng" baseline="0"/>
            <a:t>p.insights : </a:t>
          </a:r>
          <a:r>
            <a:rPr lang="en-US" sz="1100" b="0" u="none" baseline="0"/>
            <a:t>top performing states generats the highest revenue</a:t>
          </a:r>
        </a:p>
        <a:p>
          <a:pPr algn="l"/>
          <a:endParaRPr lang="en-US" sz="1100" b="1" u="sng" baseline="0"/>
        </a:p>
        <a:p>
          <a:pPr algn="l"/>
          <a:r>
            <a:rPr lang="en-US" sz="1100" b="1" u="sng" baseline="0"/>
            <a:t>Transaction by amount :</a:t>
          </a:r>
          <a:r>
            <a:rPr lang="en-US" b="0" u="none"/>
            <a:t>assess how transaction volumes are</a:t>
          </a:r>
          <a:r>
            <a:rPr lang="en-US" b="0" u="none" baseline="0"/>
            <a:t> </a:t>
          </a:r>
          <a:r>
            <a:rPr lang="en-US" b="0" u="none"/>
            <a:t>distributed across different value ranges.</a:t>
          </a:r>
          <a:endParaRPr lang="en-US" sz="1100" b="0" u="none" baseline="0"/>
        </a:p>
        <a:p>
          <a:pPr algn="l"/>
          <a:r>
            <a:rPr lang="en-US" sz="1100" b="1" u="sng" baseline="0"/>
            <a:t>how to </a:t>
          </a:r>
          <a:r>
            <a:rPr lang="en-US" sz="1100" b="0" u="sng" baseline="0"/>
            <a:t>: revenue *revenue</a:t>
          </a:r>
        </a:p>
        <a:p>
          <a:pPr algn="l"/>
          <a:r>
            <a:rPr lang="en-US" sz="1100" b="1" u="sng" baseline="0"/>
            <a:t>p.insights : </a:t>
          </a:r>
          <a:r>
            <a:rPr lang="en-US" sz="1100" b="0" u="none" baseline="0"/>
            <a:t>highlights customer purchasing behaviour pattern</a:t>
          </a:r>
        </a:p>
      </xdr:txBody>
    </xdr:sp>
    <xdr:clientData/>
  </xdr:twoCellAnchor>
  <xdr:twoCellAnchor>
    <xdr:from>
      <xdr:col>8</xdr:col>
      <xdr:colOff>9526</xdr:colOff>
      <xdr:row>1</xdr:row>
      <xdr:rowOff>19050</xdr:rowOff>
    </xdr:from>
    <xdr:to>
      <xdr:col>16</xdr:col>
      <xdr:colOff>295276</xdr:colOff>
      <xdr:row>18</xdr:row>
      <xdr:rowOff>171450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4886326" y="209550"/>
          <a:ext cx="5162550" cy="3390900"/>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PRE</a:t>
          </a:r>
          <a:r>
            <a:rPr lang="en-US" sz="1100" b="1" u="sng" baseline="0"/>
            <a:t> ANALYSIS CITATION</a:t>
          </a:r>
          <a:endParaRPr lang="en-US" sz="1100" b="1" u="sng"/>
        </a:p>
        <a:p>
          <a:pPr algn="l"/>
          <a:r>
            <a:rPr lang="en-US" sz="1100" b="1" u="sng"/>
            <a:t>sales trend report </a:t>
          </a:r>
        </a:p>
        <a:p>
          <a:r>
            <a:rPr lang="en-US" b="1" u="sng"/>
            <a:t>Objective</a:t>
          </a:r>
          <a:r>
            <a:rPr lang="en-US" b="1"/>
            <a:t>:</a:t>
          </a:r>
          <a:br>
            <a:rPr lang="en-US"/>
          </a:br>
          <a:r>
            <a:rPr lang="en-US"/>
            <a:t>Analyze sales performance over time by evaluating revenue against order date to identify meaningful trends and patterns.</a:t>
          </a:r>
        </a:p>
        <a:p>
          <a:r>
            <a:rPr lang="en-US" b="1" u="sng"/>
            <a:t>Approach :</a:t>
          </a:r>
        </a:p>
        <a:p>
          <a:r>
            <a:rPr lang="en-US"/>
            <a:t>Aggregate revenue by order date</a:t>
          </a:r>
        </a:p>
        <a:p>
          <a:r>
            <a:rPr lang="en-US"/>
            <a:t>Examine sales performance across months and days</a:t>
          </a:r>
        </a:p>
        <a:p>
          <a:r>
            <a:rPr lang="en-US"/>
            <a:t>Identify periods of peak and low sales activity</a:t>
          </a:r>
        </a:p>
        <a:p>
          <a:r>
            <a:rPr lang="en-US" b="0" u="sng"/>
            <a:t>Potential Insights:</a:t>
          </a:r>
        </a:p>
        <a:p>
          <a:r>
            <a:rPr lang="en-US"/>
            <a:t>Highlight months and days with the highest and lowest sales performance</a:t>
          </a:r>
        </a:p>
        <a:p>
          <a:r>
            <a:rPr lang="en-US"/>
            <a:t>Uncover seasonal or time-based trends in revenue</a:t>
          </a:r>
        </a:p>
        <a:p>
          <a:r>
            <a:rPr lang="en-US"/>
            <a:t>Provide data-driven inputs to support planning, forecasting, and sales optimization strategies</a:t>
          </a:r>
        </a:p>
        <a:p>
          <a:pPr algn="l"/>
          <a:endParaRPr lang="en-US" sz="1100" baseline="0"/>
        </a:p>
      </xdr:txBody>
    </xdr:sp>
    <xdr:clientData/>
  </xdr:twoCellAnchor>
  <xdr:twoCellAnchor>
    <xdr:from>
      <xdr:col>0</xdr:col>
      <xdr:colOff>0</xdr:colOff>
      <xdr:row>50</xdr:row>
      <xdr:rowOff>76200</xdr:rowOff>
    </xdr:from>
    <xdr:to>
      <xdr:col>7</xdr:col>
      <xdr:colOff>219075</xdr:colOff>
      <xdr:row>64</xdr:row>
      <xdr:rowOff>152400</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0" y="9601200"/>
          <a:ext cx="4486275" cy="2743200"/>
        </a:xfrm>
        <a:prstGeom prst="roundRect">
          <a:avLst>
            <a:gd name="adj" fmla="val 31319"/>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u="sng"/>
            <a:t>PRE ANALYSIS CITATION</a:t>
          </a:r>
        </a:p>
        <a:p>
          <a:pPr algn="l"/>
          <a:r>
            <a:rPr lang="en-US" b="1" u="sng"/>
            <a:t>Top 10 Customers </a:t>
          </a:r>
        </a:p>
        <a:p>
          <a:r>
            <a:rPr lang="en-US" b="1" u="sng"/>
            <a:t>Objective:</a:t>
          </a:r>
          <a:br>
            <a:rPr lang="en-US"/>
          </a:br>
          <a:r>
            <a:rPr lang="en-US"/>
            <a:t>Identify the top 10 customers based on total revenue generated.</a:t>
          </a:r>
        </a:p>
        <a:p>
          <a:r>
            <a:rPr lang="en-US" b="1" u="sng"/>
            <a:t>Approach</a:t>
          </a:r>
          <a:r>
            <a:rPr lang="en-US" b="1"/>
            <a:t>:</a:t>
          </a:r>
          <a:endParaRPr lang="en-US"/>
        </a:p>
        <a:p>
          <a:r>
            <a:rPr lang="en-US"/>
            <a:t>Aggregate revenue by customer name</a:t>
          </a:r>
        </a:p>
        <a:p>
          <a:r>
            <a:rPr lang="en-US"/>
            <a:t>Rank customers in ascending order of revenue</a:t>
          </a:r>
        </a:p>
        <a:p>
          <a:r>
            <a:rPr lang="en-US"/>
            <a:t>Select the top 10 revenue-contributing customers</a:t>
          </a:r>
        </a:p>
        <a:p>
          <a:r>
            <a:rPr lang="en-US" b="0" u="sng"/>
            <a:t>Potential Insights:</a:t>
          </a:r>
        </a:p>
        <a:p>
          <a:r>
            <a:rPr lang="en-US"/>
            <a:t>Highlights customers with the highest revenue contribution</a:t>
          </a:r>
        </a:p>
        <a:p>
          <a:r>
            <a:rPr lang="en-US"/>
            <a:t>Identifies key accounts driving overall sales performance</a:t>
          </a:r>
        </a:p>
        <a:p>
          <a:r>
            <a:rPr lang="en-US"/>
            <a:t>Supports strategic decisions around customer retention, account prioritization, and targeted growth initiatives</a:t>
          </a:r>
        </a:p>
        <a:p>
          <a:pPr algn="l"/>
          <a:endParaRPr lang="en-US" sz="1100"/>
        </a:p>
      </xdr:txBody>
    </xdr:sp>
    <xdr:clientData/>
  </xdr:twoCellAnchor>
  <xdr:twoCellAnchor>
    <xdr:from>
      <xdr:col>7</xdr:col>
      <xdr:colOff>590550</xdr:colOff>
      <xdr:row>19</xdr:row>
      <xdr:rowOff>171450</xdr:rowOff>
    </xdr:from>
    <xdr:to>
      <xdr:col>16</xdr:col>
      <xdr:colOff>228599</xdr:colOff>
      <xdr:row>34</xdr:row>
      <xdr:rowOff>161925</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4857750" y="3790950"/>
          <a:ext cx="5124449" cy="284797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u="sng"/>
            <a:t>PRE</a:t>
          </a:r>
          <a:r>
            <a:rPr lang="en-US" b="1" u="sng" baseline="0"/>
            <a:t> ANALYSIS CITATION</a:t>
          </a:r>
          <a:endParaRPr lang="en-US" b="1"/>
        </a:p>
        <a:p>
          <a:r>
            <a:rPr lang="en-US" b="1" u="sng"/>
            <a:t>SALES</a:t>
          </a:r>
          <a:r>
            <a:rPr lang="en-US" b="1" u="sng" baseline="0"/>
            <a:t> REP</a:t>
          </a:r>
        </a:p>
        <a:p>
          <a:r>
            <a:rPr lang="en-US" b="1" u="sng" baseline="0"/>
            <a:t>objectives :</a:t>
          </a:r>
          <a:br>
            <a:rPr lang="en-US"/>
          </a:br>
          <a:r>
            <a:rPr lang="en-US"/>
            <a:t>Evaluate sales performance by analyzing revenue generated by each salesperson.</a:t>
          </a:r>
        </a:p>
        <a:p>
          <a:r>
            <a:rPr lang="en-US" b="1" u="sng"/>
            <a:t>Approach</a:t>
          </a:r>
          <a:r>
            <a:rPr lang="en-US" b="1" u="sng" baseline="0"/>
            <a:t> :</a:t>
          </a:r>
          <a:br>
            <a:rPr lang="en-US"/>
          </a:br>
          <a:r>
            <a:rPr lang="en-US"/>
            <a:t>Aggregate and analyze revenue at the individual salesperson level.</a:t>
          </a:r>
        </a:p>
        <a:p>
          <a:r>
            <a:rPr lang="en-US" b="1" u="sng"/>
            <a:t>Potential</a:t>
          </a:r>
          <a:r>
            <a:rPr lang="en-US" b="1" u="sng" baseline="0"/>
            <a:t> insights:</a:t>
          </a:r>
          <a:br>
            <a:rPr lang="en-US"/>
          </a:br>
          <a:r>
            <a:rPr lang="en-US"/>
            <a:t>Assess individual salesperson performance based on revenue contribution, identifying top-performing and underperforming sales representatives.</a:t>
          </a:r>
        </a:p>
        <a:p>
          <a:endParaRPr lang="en-US">
            <a:effectLst/>
          </a:endParaRPr>
        </a:p>
        <a:p>
          <a:pPr algn="l"/>
          <a:endParaRPr lang="en-US" sz="1100"/>
        </a:p>
      </xdr:txBody>
    </xdr:sp>
    <xdr:clientData/>
  </xdr:twoCellAnchor>
  <xdr:twoCellAnchor>
    <xdr:from>
      <xdr:col>16</xdr:col>
      <xdr:colOff>485775</xdr:colOff>
      <xdr:row>1</xdr:row>
      <xdr:rowOff>104775</xdr:rowOff>
    </xdr:from>
    <xdr:to>
      <xdr:col>24</xdr:col>
      <xdr:colOff>238125</xdr:colOff>
      <xdr:row>17</xdr:row>
      <xdr:rowOff>123825</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10239375" y="295275"/>
          <a:ext cx="4629150" cy="306705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PRE</a:t>
          </a:r>
          <a:r>
            <a:rPr lang="en-US" sz="1100" b="1" u="sng" baseline="0"/>
            <a:t> ANALYSIS CITATION</a:t>
          </a:r>
        </a:p>
        <a:p>
          <a:pPr algn="ctr"/>
          <a:endParaRPr lang="en-US" sz="1100" b="1" u="sng" baseline="0"/>
        </a:p>
        <a:p>
          <a:r>
            <a:rPr lang="en-US" b="1" u="sng"/>
            <a:t>Sales</a:t>
          </a:r>
          <a:r>
            <a:rPr lang="en-US" b="1" u="sng" baseline="0"/>
            <a:t> by Region</a:t>
          </a:r>
          <a:endParaRPr lang="en-US" b="1" u="sng"/>
        </a:p>
        <a:p>
          <a:r>
            <a:rPr lang="en-US" b="1" u="sng"/>
            <a:t>Objective:</a:t>
          </a:r>
          <a:br>
            <a:rPr lang="en-US"/>
          </a:br>
          <a:r>
            <a:rPr lang="en-US"/>
            <a:t>To evaluate regional sales performance in order to identify top-performing and underperforming regions and support targeted strategic actions.</a:t>
          </a:r>
        </a:p>
        <a:p>
          <a:r>
            <a:rPr lang="en-US" b="1" u="sng"/>
            <a:t>Approach</a:t>
          </a:r>
          <a:r>
            <a:rPr lang="en-US" b="1" u="sng" baseline="0"/>
            <a:t> :</a:t>
          </a:r>
          <a:br>
            <a:rPr lang="en-US"/>
          </a:br>
          <a:r>
            <a:rPr lang="en-US"/>
            <a:t>Analyze total revenue aggregated by region.</a:t>
          </a:r>
        </a:p>
        <a:p>
          <a:r>
            <a:rPr lang="en-US" b="1" u="sng"/>
            <a:t>Potential</a:t>
          </a:r>
          <a:r>
            <a:rPr lang="en-US" b="1" u="sng" baseline="0"/>
            <a:t> insights :</a:t>
          </a:r>
          <a:br>
            <a:rPr lang="en-US"/>
          </a:br>
          <a:r>
            <a:rPr lang="en-US"/>
            <a:t>Assess each region’s </a:t>
          </a:r>
          <a:r>
            <a:rPr lang="en-US" b="1"/>
            <a:t>percentage contribution to total revenue</a:t>
          </a:r>
          <a:r>
            <a:rPr lang="en-US"/>
            <a:t> to understand revenue concentration and performance gaps across regions.</a:t>
          </a:r>
        </a:p>
        <a:p>
          <a:endParaRPr lang="en-US">
            <a:effectLst/>
          </a:endParaRPr>
        </a:p>
        <a:p>
          <a:pPr algn="l"/>
          <a:endParaRPr lang="en-US" sz="1100"/>
        </a:p>
      </xdr:txBody>
    </xdr:sp>
    <xdr:clientData/>
  </xdr:twoCellAnchor>
  <xdr:twoCellAnchor>
    <xdr:from>
      <xdr:col>16</xdr:col>
      <xdr:colOff>400050</xdr:colOff>
      <xdr:row>19</xdr:row>
      <xdr:rowOff>57150</xdr:rowOff>
    </xdr:from>
    <xdr:to>
      <xdr:col>25</xdr:col>
      <xdr:colOff>390525</xdr:colOff>
      <xdr:row>34</xdr:row>
      <xdr:rowOff>66675</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10153650" y="3676650"/>
          <a:ext cx="5476875" cy="286702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PRE</a:t>
          </a:r>
          <a:r>
            <a:rPr lang="en-US" sz="1100" b="1" u="sng" baseline="0"/>
            <a:t> ANALYSIS CITATION</a:t>
          </a:r>
        </a:p>
        <a:p>
          <a:pPr algn="l"/>
          <a:r>
            <a:rPr lang="en-US" sz="1100" b="1" u="sng" baseline="0"/>
            <a:t>Sales by product category</a:t>
          </a:r>
        </a:p>
        <a:p>
          <a:r>
            <a:rPr lang="en-US" b="1" u="sng"/>
            <a:t>Objective:</a:t>
          </a:r>
          <a:br>
            <a:rPr lang="en-US"/>
          </a:br>
          <a:r>
            <a:rPr lang="en-US"/>
            <a:t>Identify the highest-performing product categories to guide strategic focus during the analysis phase.</a:t>
          </a:r>
        </a:p>
        <a:p>
          <a:r>
            <a:rPr lang="en-US" b="1" u="sng"/>
            <a:t>Approach:</a:t>
          </a:r>
          <a:br>
            <a:rPr lang="en-US"/>
          </a:br>
          <a:r>
            <a:rPr lang="en-US"/>
            <a:t>Aggregate total revenue by product category.</a:t>
          </a:r>
        </a:p>
        <a:p>
          <a:r>
            <a:rPr lang="en-US" b="1" u="sng"/>
            <a:t>Potential</a:t>
          </a:r>
          <a:r>
            <a:rPr lang="en-US" b="1" u="sng" baseline="0"/>
            <a:t> insights</a:t>
          </a:r>
          <a:r>
            <a:rPr lang="en-US" b="1" u="sng"/>
            <a:t>:</a:t>
          </a:r>
          <a:br>
            <a:rPr lang="en-US"/>
          </a:br>
          <a:r>
            <a:rPr lang="en-US"/>
            <a:t>Determine which product categories contribute the largest share of overall revenue, enabling prioritization for deeper analysis and informed decision-making.</a:t>
          </a:r>
        </a:p>
        <a:p>
          <a:pPr algn="l"/>
          <a:endParaRPr lang="en-US" sz="1100" b="1" u="sng" baseline="0"/>
        </a:p>
        <a:p>
          <a:pPr algn="l"/>
          <a:endParaRPr lang="en-US" sz="1100"/>
        </a:p>
      </xdr:txBody>
    </xdr:sp>
    <xdr:clientData/>
  </xdr:twoCellAnchor>
  <xdr:twoCellAnchor>
    <xdr:from>
      <xdr:col>8</xdr:col>
      <xdr:colOff>57150</xdr:colOff>
      <xdr:row>36</xdr:row>
      <xdr:rowOff>180975</xdr:rowOff>
    </xdr:from>
    <xdr:to>
      <xdr:col>16</xdr:col>
      <xdr:colOff>219075</xdr:colOff>
      <xdr:row>54</xdr:row>
      <xdr:rowOff>38100</xdr:rowOff>
    </xdr:to>
    <xdr:sp macro="" textlink="">
      <xdr:nvSpPr>
        <xdr:cNvPr id="8" name="Rectangle: Rounded Corners 7">
          <a:extLst>
            <a:ext uri="{FF2B5EF4-FFF2-40B4-BE49-F238E27FC236}">
              <a16:creationId xmlns:a16="http://schemas.microsoft.com/office/drawing/2014/main" id="{DF99D7A6-0DEE-16DE-B8AD-FB927F54552F}"/>
            </a:ext>
          </a:extLst>
        </xdr:cNvPr>
        <xdr:cNvSpPr/>
      </xdr:nvSpPr>
      <xdr:spPr>
        <a:xfrm>
          <a:off x="4933950" y="7038975"/>
          <a:ext cx="5038725" cy="32861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sng"/>
            <a:t>PRE</a:t>
          </a:r>
          <a:r>
            <a:rPr lang="en-US" sz="1100" b="1" i="0" u="sng" baseline="0"/>
            <a:t> ANALYSIS CITATION</a:t>
          </a:r>
        </a:p>
        <a:p>
          <a:r>
            <a:rPr lang="en-US" b="1" u="sng"/>
            <a:t>Ship City by Revenue</a:t>
          </a:r>
        </a:p>
        <a:p>
          <a:r>
            <a:rPr lang="en-US" b="1" u="sng"/>
            <a:t>objective:</a:t>
          </a:r>
          <a:br>
            <a:rPr lang="en-US"/>
          </a:br>
          <a:r>
            <a:rPr lang="en-US"/>
            <a:t>This analysis identifies the cities that generate the highest revenue through shipping activities, enabling the business to understand logistics performance.</a:t>
          </a:r>
        </a:p>
        <a:p>
          <a:r>
            <a:rPr lang="en-US" b="1" u="sng"/>
            <a:t>Approach:</a:t>
          </a:r>
          <a:br>
            <a:rPr lang="en-US"/>
          </a:br>
          <a:r>
            <a:rPr lang="en-US"/>
            <a:t>Shipping revenue is aggregated by  ship city</a:t>
          </a:r>
        </a:p>
        <a:p>
          <a:r>
            <a:rPr lang="en-US" b="1" u="sng"/>
            <a:t>Potential Insights:</a:t>
          </a:r>
          <a:br>
            <a:rPr lang="en-US"/>
          </a:br>
          <a:r>
            <a:rPr lang="en-US"/>
            <a:t>High-revenue cities typically reflect strong operational efficiency, reliable logistics infrastructure, and robust customer demand. In contrast, lower-performing cities may indicate logistical constraints, capacity limitations, or weaker market demand, highlighting areas that require operational or strategic improvement.</a:t>
          </a:r>
        </a:p>
        <a:p>
          <a:pPr algn="l"/>
          <a:endParaRPr lang="en-US" sz="1100" baseline="0"/>
        </a:p>
        <a:p>
          <a:pPr algn="l"/>
          <a:endParaRPr lang="en-US" sz="1100"/>
        </a:p>
      </xdr:txBody>
    </xdr:sp>
    <xdr:clientData/>
  </xdr:twoCellAnchor>
  <xdr:twoCellAnchor>
    <xdr:from>
      <xdr:col>16</xdr:col>
      <xdr:colOff>457200</xdr:colOff>
      <xdr:row>37</xdr:row>
      <xdr:rowOff>123825</xdr:rowOff>
    </xdr:from>
    <xdr:to>
      <xdr:col>24</xdr:col>
      <xdr:colOff>438150</xdr:colOff>
      <xdr:row>53</xdr:row>
      <xdr:rowOff>47625</xdr:rowOff>
    </xdr:to>
    <xdr:sp macro="" textlink="">
      <xdr:nvSpPr>
        <xdr:cNvPr id="9" name="Rectangle: Rounded Corners 8">
          <a:extLst>
            <a:ext uri="{FF2B5EF4-FFF2-40B4-BE49-F238E27FC236}">
              <a16:creationId xmlns:a16="http://schemas.microsoft.com/office/drawing/2014/main" id="{7EFC3850-E95C-08B3-5CCB-8BBE961110F7}"/>
            </a:ext>
          </a:extLst>
        </xdr:cNvPr>
        <xdr:cNvSpPr/>
      </xdr:nvSpPr>
      <xdr:spPr>
        <a:xfrm>
          <a:off x="10210800" y="7172325"/>
          <a:ext cx="4857750" cy="29718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PRE</a:t>
          </a:r>
          <a:r>
            <a:rPr lang="en-US" sz="1100" b="1" u="sng" baseline="0"/>
            <a:t> ANALYSIS CITATION</a:t>
          </a:r>
        </a:p>
        <a:p>
          <a:pPr algn="l"/>
          <a:r>
            <a:rPr lang="en-US" sz="1100" b="1" u="sng" baseline="0"/>
            <a:t>Top five cities by revenue</a:t>
          </a:r>
        </a:p>
        <a:p>
          <a:r>
            <a:rPr lang="en-US" b="1" u="sng"/>
            <a:t>Objective:</a:t>
          </a:r>
          <a:br>
            <a:rPr lang="en-US"/>
          </a:br>
          <a:r>
            <a:rPr lang="en-US"/>
            <a:t>This analysis identifies the top-performing cities based on total revenue generated, providing visibility into geographic sales strength and market concentration.</a:t>
          </a:r>
        </a:p>
        <a:p>
          <a:r>
            <a:rPr lang="en-US" b="1" u="sng"/>
            <a:t>Approach</a:t>
          </a:r>
          <a:r>
            <a:rPr lang="en-US" b="1" u="sng" baseline="0"/>
            <a:t> :</a:t>
          </a:r>
          <a:br>
            <a:rPr lang="en-US"/>
          </a:br>
          <a:r>
            <a:rPr lang="en-US"/>
            <a:t>Revenue is aggregated by city to evaluate and rank city-level sales performance.</a:t>
          </a:r>
        </a:p>
        <a:p>
          <a:r>
            <a:rPr lang="en-US" b="1" u="sng"/>
            <a:t>potential</a:t>
          </a:r>
          <a:r>
            <a:rPr lang="en-US" b="1" u="sng" baseline="0"/>
            <a:t> </a:t>
          </a:r>
          <a:r>
            <a:rPr lang="en-US" b="1" u="sng"/>
            <a:t>Insights</a:t>
          </a:r>
          <a:r>
            <a:rPr lang="en-US" b="1" u="sng" baseline="0"/>
            <a:t> :</a:t>
          </a:r>
          <a:br>
            <a:rPr lang="en-US"/>
          </a:br>
          <a:r>
            <a:rPr lang="en-US"/>
            <a:t>Higher-ranking cities typically demonstrate stronger sales productivity, deeper customer penetration, and higher levels of customer loyalty. Conversely, lower-performing cities may indicate opportunities for improved sales execution, market expansion, or customer engagement strategies.</a:t>
          </a:r>
        </a:p>
        <a:p>
          <a:pPr algn="l"/>
          <a:endParaRPr lang="en-US" sz="1100" b="1" u="sng"/>
        </a:p>
      </xdr:txBody>
    </xdr:sp>
    <xdr:clientData/>
  </xdr:twoCellAnchor>
  <xdr:twoCellAnchor>
    <xdr:from>
      <xdr:col>25</xdr:col>
      <xdr:colOff>266700</xdr:colOff>
      <xdr:row>2</xdr:row>
      <xdr:rowOff>95250</xdr:rowOff>
    </xdr:from>
    <xdr:to>
      <xdr:col>32</xdr:col>
      <xdr:colOff>95250</xdr:colOff>
      <xdr:row>16</xdr:row>
      <xdr:rowOff>57150</xdr:rowOff>
    </xdr:to>
    <xdr:sp macro="" textlink="">
      <xdr:nvSpPr>
        <xdr:cNvPr id="10" name="Rectangle: Rounded Corners 9">
          <a:extLst>
            <a:ext uri="{FF2B5EF4-FFF2-40B4-BE49-F238E27FC236}">
              <a16:creationId xmlns:a16="http://schemas.microsoft.com/office/drawing/2014/main" id="{87585BCC-363E-CFCC-B49C-9AEEA10D5A24}"/>
            </a:ext>
          </a:extLst>
        </xdr:cNvPr>
        <xdr:cNvSpPr/>
      </xdr:nvSpPr>
      <xdr:spPr>
        <a:xfrm>
          <a:off x="15506700" y="476250"/>
          <a:ext cx="4095750" cy="26289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PRE</a:t>
          </a:r>
          <a:r>
            <a:rPr lang="en-US" sz="1100" b="1" u="sng" baseline="0"/>
            <a:t> ANALYSIS CITATION</a:t>
          </a:r>
          <a:endParaRPr lang="en-US" sz="1100" b="1" u="sng"/>
        </a:p>
        <a:p>
          <a:r>
            <a:rPr lang="en-US" b="1" u="sng"/>
            <a:t>Transaction by Amount</a:t>
          </a:r>
        </a:p>
        <a:p>
          <a:r>
            <a:rPr lang="en-US" b="1" u="sng"/>
            <a:t>Objective:</a:t>
          </a:r>
          <a:br>
            <a:rPr lang="en-US"/>
          </a:br>
          <a:r>
            <a:rPr lang="en-US"/>
            <a:t>To evaluate how transaction volumes are distributed across different transaction value ranges.</a:t>
          </a:r>
        </a:p>
        <a:p>
          <a:r>
            <a:rPr lang="en-US" b="1" u="sng"/>
            <a:t>Approach:</a:t>
          </a:r>
          <a:br>
            <a:rPr lang="en-US"/>
          </a:br>
          <a:r>
            <a:rPr lang="en-US"/>
            <a:t>A</a:t>
          </a:r>
          <a:r>
            <a:rPr lang="en-US" b="0" u="none"/>
            <a:t>nalyze transaction amounts by aggregating revenue across defined value bands </a:t>
          </a:r>
          <a:r>
            <a:rPr lang="en-US" b="0" i="1" u="none"/>
            <a:t>(Revenue × Revenue)</a:t>
          </a:r>
          <a:r>
            <a:rPr lang="en-US" b="0" u="none"/>
            <a:t>.</a:t>
          </a:r>
        </a:p>
        <a:p>
          <a:r>
            <a:rPr lang="en-US" b="1" u="sng"/>
            <a:t>Potential Insights </a:t>
          </a:r>
          <a:r>
            <a:rPr lang="en-US" b="1"/>
            <a:t>:</a:t>
          </a:r>
          <a:br>
            <a:rPr lang="en-US"/>
          </a:br>
          <a:r>
            <a:rPr lang="en-US"/>
            <a:t>This view provides early indication of </a:t>
          </a:r>
          <a:r>
            <a:rPr lang="en-US" b="1"/>
            <a:t>customer purchasing behaviour patterns</a:t>
          </a:r>
          <a:r>
            <a:rPr lang="en-US"/>
            <a:t>, highlighting whether transactions are predominantly low-value or high-value in nature.</a:t>
          </a:r>
        </a:p>
        <a:p>
          <a:pPr algn="l"/>
          <a:endParaRPr lang="en-US" sz="1100"/>
        </a:p>
      </xdr:txBody>
    </xdr:sp>
    <xdr:clientData/>
  </xdr:twoCellAnchor>
  <xdr:twoCellAnchor>
    <xdr:from>
      <xdr:col>7</xdr:col>
      <xdr:colOff>200024</xdr:colOff>
      <xdr:row>50</xdr:row>
      <xdr:rowOff>0</xdr:rowOff>
    </xdr:from>
    <xdr:to>
      <xdr:col>7</xdr:col>
      <xdr:colOff>266699</xdr:colOff>
      <xdr:row>53</xdr:row>
      <xdr:rowOff>0</xdr:rowOff>
    </xdr:to>
    <xdr:sp macro="" textlink="">
      <xdr:nvSpPr>
        <xdr:cNvPr id="2049" name="Text Box 1">
          <a:extLst>
            <a:ext uri="{FF2B5EF4-FFF2-40B4-BE49-F238E27FC236}">
              <a16:creationId xmlns:a16="http://schemas.microsoft.com/office/drawing/2014/main" id="{101F1920-F030-EC5E-A497-0A9F13281AF6}"/>
            </a:ext>
          </a:extLst>
        </xdr:cNvPr>
        <xdr:cNvSpPr txBox="1">
          <a:spLocks noChangeArrowheads="1"/>
        </xdr:cNvSpPr>
      </xdr:nvSpPr>
      <xdr:spPr bwMode="auto">
        <a:xfrm>
          <a:off x="4467224" y="9525000"/>
          <a:ext cx="66675"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xdr:from>
      <xdr:col>26</xdr:col>
      <xdr:colOff>171450</xdr:colOff>
      <xdr:row>18</xdr:row>
      <xdr:rowOff>123825</xdr:rowOff>
    </xdr:from>
    <xdr:to>
      <xdr:col>33</xdr:col>
      <xdr:colOff>409575</xdr:colOff>
      <xdr:row>32</xdr:row>
      <xdr:rowOff>76200</xdr:rowOff>
    </xdr:to>
    <xdr:sp macro="" textlink="">
      <xdr:nvSpPr>
        <xdr:cNvPr id="11" name="Rectangle: Rounded Corners 10">
          <a:extLst>
            <a:ext uri="{FF2B5EF4-FFF2-40B4-BE49-F238E27FC236}">
              <a16:creationId xmlns:a16="http://schemas.microsoft.com/office/drawing/2014/main" id="{7B2B24CE-003F-EC71-3E2F-D56E4D5DB32E}"/>
            </a:ext>
          </a:extLst>
        </xdr:cNvPr>
        <xdr:cNvSpPr/>
      </xdr:nvSpPr>
      <xdr:spPr>
        <a:xfrm>
          <a:off x="16021050" y="3552825"/>
          <a:ext cx="4505325" cy="26193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PRE ANALYSIS CITATION</a:t>
          </a:r>
        </a:p>
        <a:p>
          <a:r>
            <a:rPr lang="en-US" sz="1100" b="1" u="sng"/>
            <a:t>State performance</a:t>
          </a:r>
        </a:p>
        <a:p>
          <a:r>
            <a:rPr lang="en-US" b="1" u="sng"/>
            <a:t>Objective:</a:t>
          </a:r>
          <a:br>
            <a:rPr lang="en-US" b="1" u="sng"/>
          </a:br>
          <a:r>
            <a:rPr lang="en-US" b="0" u="none"/>
            <a:t>To </a:t>
          </a:r>
          <a:r>
            <a:rPr lang="en-US"/>
            <a:t>identify and evaluate states based on their contribution to total revenue.</a:t>
          </a:r>
        </a:p>
        <a:p>
          <a:r>
            <a:rPr lang="en-US" b="1" u="sng"/>
            <a:t>Approach:</a:t>
          </a:r>
          <a:br>
            <a:rPr lang="en-US"/>
          </a:br>
          <a:r>
            <a:rPr lang="en-US"/>
            <a:t>Analyze revenue distribution by state through aggregation </a:t>
          </a:r>
          <a:r>
            <a:rPr lang="en-US" i="1"/>
            <a:t>(state × Revenue)</a:t>
          </a:r>
          <a:r>
            <a:rPr lang="en-US"/>
            <a:t>.</a:t>
          </a:r>
        </a:p>
        <a:p>
          <a:r>
            <a:rPr lang="en-US" b="1" u="sng"/>
            <a:t>Potential Insights:</a:t>
          </a:r>
          <a:br>
            <a:rPr lang="en-US"/>
          </a:br>
          <a:r>
            <a:rPr lang="en-US" b="0" u="none"/>
            <a:t>This analysis highlights top-performing states and provides an early view of geographic revenue concentration, setting the foundation for deeper regional performance assessment.</a:t>
          </a:r>
        </a:p>
        <a:p>
          <a:endParaRPr lang="en-US">
            <a:effectLst/>
          </a:endParaRP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95248</xdr:colOff>
      <xdr:row>3</xdr:row>
      <xdr:rowOff>100012</xdr:rowOff>
    </xdr:from>
    <xdr:to>
      <xdr:col>11</xdr:col>
      <xdr:colOff>609599</xdr:colOff>
      <xdr:row>15</xdr:row>
      <xdr:rowOff>85725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114300</xdr:rowOff>
    </xdr:from>
    <xdr:to>
      <xdr:col>11</xdr:col>
      <xdr:colOff>381001</xdr:colOff>
      <xdr:row>43</xdr:row>
      <xdr:rowOff>38100</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0" y="495300"/>
          <a:ext cx="7086601" cy="7734300"/>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baseline="0"/>
            <a:t>IN ANALYSIS OBSERVATION/MOW</a:t>
          </a:r>
        </a:p>
        <a:p>
          <a:pPr algn="l"/>
          <a:r>
            <a:rPr lang="en-US" sz="1100" b="1" u="sng" baseline="0"/>
            <a:t>Sales Trend Report</a:t>
          </a:r>
        </a:p>
        <a:p>
          <a:pPr algn="l"/>
          <a:r>
            <a:rPr lang="en-US" sz="1100" baseline="0"/>
            <a:t>december has the largest sales input 66k</a:t>
          </a:r>
        </a:p>
        <a:p>
          <a:pPr algn="l"/>
          <a:r>
            <a:rPr lang="en-US" sz="1100" baseline="0"/>
            <a:t>feburary having the least sales -19k</a:t>
          </a:r>
        </a:p>
        <a:p>
          <a:pPr algn="l"/>
          <a:r>
            <a:rPr lang="en-US" sz="1100" baseline="0"/>
            <a:t> </a:t>
          </a:r>
        </a:p>
        <a:p>
          <a:pPr algn="l"/>
          <a:r>
            <a:rPr lang="en-US" sz="1100" b="1" u="sng" baseline="0"/>
            <a:t>TOP 10 CUSTOMER</a:t>
          </a:r>
        </a:p>
        <a:p>
          <a:pPr algn="l"/>
          <a:r>
            <a:rPr lang="en-US" sz="1100" baseline="0"/>
            <a:t>company d topping the chart as the customer who generate the most revenue while,</a:t>
          </a:r>
        </a:p>
        <a:p>
          <a:pPr algn="l"/>
          <a:r>
            <a:rPr lang="en-US" sz="1100" baseline="0"/>
            <a:t>company k is the least of the top 10 customer</a:t>
          </a:r>
        </a:p>
        <a:p>
          <a:pPr algn="l"/>
          <a:r>
            <a:rPr lang="en-US" sz="1100" baseline="0"/>
            <a:t> </a:t>
          </a:r>
        </a:p>
        <a:p>
          <a:pPr algn="l"/>
          <a:r>
            <a:rPr lang="en-US" sz="1100" b="1" u="sng" baseline="0"/>
            <a:t>SALES BY REP</a:t>
          </a:r>
        </a:p>
        <a:p>
          <a:pPr algn="l"/>
          <a:r>
            <a:rPr lang="en-US" sz="1100" b="0" u="none"/>
            <a:t>Nancy freehafer generate</a:t>
          </a:r>
          <a:r>
            <a:rPr lang="en-US" sz="1100" b="0" u="none" baseline="0"/>
            <a:t>d the highest revenue of $104252.34 ,follow closely by Anne larsen who generated $93858.33 ,John kotas generate the least revenue of $16350.5.</a:t>
          </a:r>
        </a:p>
        <a:p>
          <a:pPr algn="l"/>
          <a:endParaRPr lang="en-US" sz="1100" b="0" u="none" baseline="0"/>
        </a:p>
        <a:p>
          <a:pPr algn="l"/>
          <a:r>
            <a:rPr lang="en-US" sz="1100" b="1" u="sng" baseline="0"/>
            <a:t>SALES BY REGION</a:t>
          </a:r>
        </a:p>
        <a:p>
          <a:pPr algn="l"/>
          <a:r>
            <a:rPr lang="en-US" sz="1100" b="0" u="none" baseline="0"/>
            <a:t>The north region generate the highest revenue with 32.57% of the total sales while, the west generated the lowest with 20.97% of the total sales.</a:t>
          </a:r>
        </a:p>
        <a:p>
          <a:pPr algn="l"/>
          <a:endParaRPr lang="en-US" sz="1100" b="0" u="none" baseline="0"/>
        </a:p>
        <a:p>
          <a:pPr algn="l"/>
          <a:r>
            <a:rPr lang="en-US" sz="1100" b="1" u="sng" baseline="0"/>
            <a:t>SALES BY PRODUCT CATEGORY</a:t>
          </a:r>
        </a:p>
        <a:p>
          <a:pPr algn="l"/>
          <a:r>
            <a:rPr lang="en-US"/>
            <a:t>Beverages emerge as the most in-demand product category and the primary driver of overall revenue,follow</a:t>
          </a:r>
          <a:r>
            <a:rPr lang="en-US" baseline="0"/>
            <a:t> by diary product,dried fruit and nut.</a:t>
          </a:r>
        </a:p>
        <a:p>
          <a:pPr algn="l"/>
          <a:endParaRPr lang="en-US" baseline="0"/>
        </a:p>
        <a:p>
          <a:pPr algn="l"/>
          <a:r>
            <a:rPr lang="en-US" sz="1100" b="1" u="sng" baseline="0"/>
            <a:t>SHIP CITY BY REVENUE</a:t>
          </a:r>
        </a:p>
        <a:p>
          <a:pPr algn="l"/>
          <a:r>
            <a:rPr lang="en-US" sz="1100" b="0" u="none" baseline="0"/>
            <a:t>new york generated the highest revenue through shipping,followed by portland who edges miami with a little margin.</a:t>
          </a:r>
        </a:p>
        <a:p>
          <a:pPr algn="l"/>
          <a:endParaRPr lang="en-US" sz="1100" b="1" u="sng" baseline="0"/>
        </a:p>
        <a:p>
          <a:pPr algn="l"/>
          <a:r>
            <a:rPr lang="en-US" sz="1100" b="1" u="sng" baseline="0"/>
            <a:t>CITY SALES PERFORMANCE</a:t>
          </a:r>
        </a:p>
        <a:p>
          <a:pPr algn="l"/>
          <a:r>
            <a:rPr lang="en-US" sz="1100" b="0" u="none" baseline="0"/>
            <a:t>new york generates the highest revenue of </a:t>
          </a:r>
          <a:r>
            <a:rPr lang="en-US" sz="1100" b="0" i="0" u="none" strike="noStrike">
              <a:solidFill>
                <a:schemeClr val="lt1"/>
              </a:solidFill>
              <a:effectLst/>
              <a:latin typeface="+mn-lt"/>
              <a:ea typeface="+mn-ea"/>
              <a:cs typeface="+mn-cs"/>
            </a:rPr>
            <a:t>$67,180.50</a:t>
          </a:r>
          <a:r>
            <a:rPr lang="en-US">
              <a:effectLst/>
            </a:rPr>
            <a:t> ,follow by portland and miami</a:t>
          </a:r>
        </a:p>
        <a:p>
          <a:pPr algn="l"/>
          <a:endParaRPr lang="en-US" sz="1100" b="0" u="none" baseline="0">
            <a:effectLst/>
          </a:endParaRPr>
        </a:p>
        <a:p>
          <a:pPr algn="l"/>
          <a:r>
            <a:rPr lang="en-US" sz="1100" b="1" u="sng" baseline="0">
              <a:effectLst/>
            </a:rPr>
            <a:t>STATE PERFORMANCE </a:t>
          </a:r>
        </a:p>
        <a:p>
          <a:pPr algn="l"/>
          <a:r>
            <a:rPr lang="en-US" sz="1100" b="0" u="none" baseline="0">
              <a:effectLst/>
            </a:rPr>
            <a:t>new york contributes  generates the highest revenue follow by oregun, florida.</a:t>
          </a:r>
        </a:p>
        <a:p>
          <a:pPr algn="l"/>
          <a:endParaRPr lang="en-US" sz="1100" b="1" u="sng" baseline="0">
            <a:effectLst/>
          </a:endParaRPr>
        </a:p>
        <a:p>
          <a:pPr algn="l"/>
          <a:endParaRPr lang="en-US" sz="1100" b="1" u="sng" baseline="0">
            <a:effectLst/>
          </a:endParaRPr>
        </a:p>
        <a:p>
          <a:pPr algn="l"/>
          <a:r>
            <a:rPr lang="en-US" sz="1100" b="1" u="sng" baseline="0">
              <a:effectLst/>
            </a:rPr>
            <a:t>TRANSACTION BY AMOUNT</a:t>
          </a:r>
        </a:p>
        <a:p>
          <a:pPr algn="l"/>
          <a:r>
            <a:rPr lang="en-US" sz="1100" b="0" u="none" baseline="0">
              <a:effectLst/>
            </a:rPr>
            <a:t>product within the  lower price range was bought more than product within the higher price range</a:t>
          </a:r>
          <a:endParaRPr lang="en-US" sz="1100" b="0" u="none" baseline="0"/>
        </a:p>
        <a:p>
          <a:pPr algn="l"/>
          <a:endParaRPr lang="en-US" sz="1100" b="0" u="none"/>
        </a:p>
      </xdr:txBody>
    </xdr:sp>
    <xdr:clientData/>
  </xdr:twoCellAnchor>
  <xdr:twoCellAnchor>
    <xdr:from>
      <xdr:col>15</xdr:col>
      <xdr:colOff>180975</xdr:colOff>
      <xdr:row>0</xdr:row>
      <xdr:rowOff>47625</xdr:rowOff>
    </xdr:from>
    <xdr:to>
      <xdr:col>22</xdr:col>
      <xdr:colOff>400050</xdr:colOff>
      <xdr:row>17</xdr:row>
      <xdr:rowOff>57150</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9324975" y="47625"/>
          <a:ext cx="4486275" cy="3248025"/>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u="sng" baseline="0"/>
            <a:t>IN ANALYSIS INSIGHTS OF SALES TREND REPORT</a:t>
          </a:r>
        </a:p>
        <a:p>
          <a:pPr algn="ctr"/>
          <a:r>
            <a:rPr lang="en-US"/>
            <a:t>February demonstrates a consistently lower sales turnover compared to other months. To address this seasonal dip, it is recommended to strengthen advertising efforts and introduce targeted promotional campaigns during February next</a:t>
          </a:r>
          <a:r>
            <a:rPr lang="en-US" baseline="0"/>
            <a:t> year</a:t>
          </a:r>
          <a:r>
            <a:rPr lang="en-US"/>
            <a:t>. These initiatives could help stimulate demand, improve customer engagement, and drive higher sales performance for the month.</a:t>
          </a:r>
        </a:p>
        <a:p>
          <a:pPr marL="0" marR="0" indent="0" algn="l" defTabSz="914400" eaLnBrk="1" fontAlgn="auto" latinLnBrk="0" hangingPunct="1">
            <a:lnSpc>
              <a:spcPct val="100000"/>
            </a:lnSpc>
            <a:spcBef>
              <a:spcPts val="0"/>
            </a:spcBef>
            <a:spcAft>
              <a:spcPts val="0"/>
            </a:spcAft>
            <a:buClrTx/>
            <a:buSzTx/>
            <a:buFontTx/>
            <a:buNone/>
            <a:tabLst/>
            <a:defRPr/>
          </a:pPr>
          <a:r>
            <a:rPr lang="en-US"/>
            <a:t>December records the highest sales contribution of the year, indicating strong seasonal demand. To further capitalize on this peak period in December next</a:t>
          </a:r>
          <a:r>
            <a:rPr lang="en-US" baseline="0"/>
            <a:t> year</a:t>
          </a:r>
          <a:r>
            <a:rPr lang="en-US"/>
            <a:t>, it is recommended to scale up inventory levels, intensify marketing and advertising campaigns, and introduce limited-time or premium product offerings. These actions can help maximize revenue, capture increased customer spending, and strengthen overall year-end performance.</a:t>
          </a:r>
          <a:endParaRPr lang="en-US">
            <a:effectLst/>
          </a:endParaRPr>
        </a:p>
        <a:p>
          <a:pPr algn="l"/>
          <a:endParaRPr lang="en-US" sz="1100" baseline="0"/>
        </a:p>
      </xdr:txBody>
    </xdr:sp>
    <xdr:clientData/>
  </xdr:twoCellAnchor>
  <xdr:twoCellAnchor>
    <xdr:from>
      <xdr:col>13</xdr:col>
      <xdr:colOff>28575</xdr:colOff>
      <xdr:row>36</xdr:row>
      <xdr:rowOff>28576</xdr:rowOff>
    </xdr:from>
    <xdr:to>
      <xdr:col>20</xdr:col>
      <xdr:colOff>552450</xdr:colOff>
      <xdr:row>51</xdr:row>
      <xdr:rowOff>142876</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7953375" y="6886576"/>
          <a:ext cx="4791075" cy="2971800"/>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baseline="0"/>
            <a:t>IN ANALYSIS INSIGHTS OF TOP 10 CUSTOMER</a:t>
          </a:r>
        </a:p>
        <a:p>
          <a:r>
            <a:rPr lang="en-US"/>
            <a:t>Company D tops the Top 10 customer list, contributing the highest share of total revenue and representing a critical key account. It is recommended to prioritize retention strategies for Company D, including tailored offerings, dedicated account management, and long-term partnership incentives to sustain and grow this revenue stream.</a:t>
          </a:r>
        </a:p>
        <a:p>
          <a:r>
            <a:rPr lang="en-US"/>
            <a:t>Conversely, Company K, while still within the Top 10 customers, contributes the lowest revenue among this group. This presents an opportunity to implement targeted upselling, cross-selling, or customized promotional strategies to increase wallet share and strengthen the commercial relationship.</a:t>
          </a:r>
        </a:p>
        <a:p>
          <a:pPr algn="l"/>
          <a:endParaRPr lang="en-US" sz="1100" b="1" u="sng" baseline="0"/>
        </a:p>
        <a:p>
          <a:pPr algn="ctr"/>
          <a:endParaRPr lang="en-US" sz="1100" b="1" u="sng" baseline="0"/>
        </a:p>
      </xdr:txBody>
    </xdr:sp>
    <xdr:clientData/>
  </xdr:twoCellAnchor>
  <xdr:twoCellAnchor>
    <xdr:from>
      <xdr:col>12</xdr:col>
      <xdr:colOff>219075</xdr:colOff>
      <xdr:row>17</xdr:row>
      <xdr:rowOff>133350</xdr:rowOff>
    </xdr:from>
    <xdr:to>
      <xdr:col>21</xdr:col>
      <xdr:colOff>390525</xdr:colOff>
      <xdr:row>35</xdr:row>
      <xdr:rowOff>180975</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7534275" y="3371850"/>
          <a:ext cx="5657850" cy="347662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IN</a:t>
          </a:r>
          <a:r>
            <a:rPr lang="en-US" sz="1100" b="1" u="sng" baseline="0"/>
            <a:t> ANALYSIS INSIGHTS OF SALES BY REP</a:t>
          </a:r>
        </a:p>
        <a:p>
          <a:pPr algn="l"/>
          <a:br>
            <a:rPr lang="en-US"/>
          </a:br>
          <a:r>
            <a:rPr lang="en-US"/>
            <a:t>Nancy Freehafer led overall sales performance, generating </a:t>
          </a:r>
          <a:r>
            <a:rPr lang="en-US" b="1"/>
            <a:t>$104,252.34</a:t>
          </a:r>
          <a:r>
            <a:rPr lang="en-US"/>
            <a:t> in revenue, with Anne Larsen closely behind at </a:t>
          </a:r>
          <a:r>
            <a:rPr lang="en-US" b="1"/>
            <a:t>$93,858.33</a:t>
          </a:r>
          <a:r>
            <a:rPr lang="en-US"/>
            <a:t>. These results indicate strong effectiveness among top-performing representatives and suggest that their sales approaches and account strategies may represent best practices for the broader team.</a:t>
          </a:r>
        </a:p>
        <a:p>
          <a:r>
            <a:rPr lang="en-US"/>
            <a:t>John Kotas recorded the lowest revenue at </a:t>
          </a:r>
          <a:r>
            <a:rPr lang="en-US" b="1"/>
            <a:t>$16,350.50</a:t>
          </a:r>
          <a:r>
            <a:rPr lang="en-US"/>
            <a:t>, revealing a substantial performance gap when compared to peers.</a:t>
          </a:r>
        </a:p>
        <a:p>
          <a:br>
            <a:rPr lang="en-US"/>
          </a:br>
          <a:r>
            <a:rPr lang="en-US"/>
            <a:t>* We</a:t>
          </a:r>
          <a:r>
            <a:rPr lang="en-US" baseline="0"/>
            <a:t> can </a:t>
          </a:r>
          <a:r>
            <a:rPr lang="en-US"/>
            <a:t>Analyze and document the sales strategies, customer mix, and engagement methods used by top performers to identify replicable success factors.</a:t>
          </a:r>
          <a:br>
            <a:rPr lang="en-US"/>
          </a:br>
          <a:r>
            <a:rPr lang="en-US"/>
            <a:t> Provide targeted coaching, performance support, or territory review for underperforming representatives to address potential skill, coverage, or resource gaps.</a:t>
          </a:r>
          <a:br>
            <a:rPr lang="en-US"/>
          </a:br>
          <a:endParaRPr lang="en-US"/>
        </a:p>
        <a:p>
          <a:endParaRPr lang="en-US">
            <a:effectLst/>
          </a:endParaRPr>
        </a:p>
        <a:p>
          <a:pPr algn="l"/>
          <a:endParaRPr lang="en-US" sz="1100" baseline="0"/>
        </a:p>
      </xdr:txBody>
    </xdr:sp>
    <xdr:clientData/>
  </xdr:twoCellAnchor>
  <xdr:twoCellAnchor>
    <xdr:from>
      <xdr:col>22</xdr:col>
      <xdr:colOff>466726</xdr:colOff>
      <xdr:row>0</xdr:row>
      <xdr:rowOff>85725</xdr:rowOff>
    </xdr:from>
    <xdr:to>
      <xdr:col>30</xdr:col>
      <xdr:colOff>219076</xdr:colOff>
      <xdr:row>17</xdr:row>
      <xdr:rowOff>0</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13877926" y="85725"/>
          <a:ext cx="4629150" cy="315277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IN</a:t>
          </a:r>
          <a:r>
            <a:rPr lang="en-US" sz="1100" b="1" u="sng" baseline="0"/>
            <a:t> ANALYSIS INSIGHTS OF SALES BY REGION</a:t>
          </a:r>
        </a:p>
        <a:p>
          <a:r>
            <a:rPr lang="en-US"/>
            <a:t>The </a:t>
          </a:r>
          <a:r>
            <a:rPr lang="en-US" b="1"/>
            <a:t>North region</a:t>
          </a:r>
          <a:r>
            <a:rPr lang="en-US"/>
            <a:t> is the top contributor, generating </a:t>
          </a:r>
          <a:r>
            <a:rPr lang="en-US" b="1"/>
            <a:t>32.57%</a:t>
          </a:r>
          <a:r>
            <a:rPr lang="en-US"/>
            <a:t> of total sales, demonstrating strong market presence and effective sales execution. The </a:t>
          </a:r>
          <a:r>
            <a:rPr lang="en-US" b="1"/>
            <a:t>East region</a:t>
          </a:r>
          <a:r>
            <a:rPr lang="en-US"/>
            <a:t> contributes </a:t>
          </a:r>
          <a:r>
            <a:rPr lang="en-US" b="1"/>
            <a:t>24.89%</a:t>
          </a:r>
          <a:r>
            <a:rPr lang="en-US"/>
            <a:t>, showing healthy performance with potential to scale further and narrow the gap with the leading region.</a:t>
          </a:r>
        </a:p>
        <a:p>
          <a:r>
            <a:rPr lang="en-US"/>
            <a:t>The </a:t>
          </a:r>
          <a:r>
            <a:rPr lang="en-US" b="1"/>
            <a:t>South (21.57%)</a:t>
          </a:r>
          <a:r>
            <a:rPr lang="en-US"/>
            <a:t> and </a:t>
          </a:r>
          <a:r>
            <a:rPr lang="en-US" b="1"/>
            <a:t>West (20.97%)</a:t>
          </a:r>
          <a:r>
            <a:rPr lang="en-US"/>
            <a:t> regions show relatively similar revenue contributions, indicating stable but comparatively weaker performance. This suggests opportunities to improve regional sales effectiveness and market penetration in these areas.</a:t>
          </a:r>
        </a:p>
        <a:p>
          <a:r>
            <a:rPr lang="en-US"/>
            <a:t>Overall, sales are moderately concentrated, with the top two regions accounting for over half of total revenue. While this highlights strong regional performance, it also underscores the importance of reducing over-reliance on a single region by accelerating growth in underperforming markets.</a:t>
          </a:r>
        </a:p>
        <a:p>
          <a:pPr algn="l"/>
          <a:endParaRPr lang="en-US" sz="1100"/>
        </a:p>
      </xdr:txBody>
    </xdr:sp>
    <xdr:clientData/>
  </xdr:twoCellAnchor>
  <xdr:twoCellAnchor>
    <xdr:from>
      <xdr:col>21</xdr:col>
      <xdr:colOff>466725</xdr:colOff>
      <xdr:row>18</xdr:row>
      <xdr:rowOff>85724</xdr:rowOff>
    </xdr:from>
    <xdr:to>
      <xdr:col>30</xdr:col>
      <xdr:colOff>219075</xdr:colOff>
      <xdr:row>35</xdr:row>
      <xdr:rowOff>114299</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13268325" y="3514724"/>
          <a:ext cx="5238750" cy="326707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IN</a:t>
          </a:r>
          <a:r>
            <a:rPr lang="en-US" sz="1100" b="1" u="sng" baseline="0"/>
            <a:t> ANALYSIS INSIGHTS OF SALES BY PRODUCT CATEGORY</a:t>
          </a:r>
        </a:p>
        <a:p>
          <a:pPr algn="l"/>
          <a:br>
            <a:rPr lang="en-US"/>
          </a:br>
          <a:r>
            <a:rPr lang="en-US"/>
            <a:t>Beverages lead all product categories in both demand and revenue contribution, with dairy products, dried fruits, and nuts following as secondary contributors.</a:t>
          </a:r>
        </a:p>
        <a:p>
          <a:r>
            <a:rPr lang="en-US" b="1"/>
            <a:t>Implication</a:t>
          </a:r>
          <a:br>
            <a:rPr lang="en-US"/>
          </a:br>
          <a:r>
            <a:rPr lang="en-US"/>
            <a:t>Revenue performance is highly concentrated in the beverages category, indicating a strong core driver of sales and a potential dependency risk if not diversified.</a:t>
          </a:r>
        </a:p>
        <a:p>
          <a:r>
            <a:rPr lang="en-US" b="1"/>
            <a:t>Action</a:t>
          </a:r>
          <a:endParaRPr lang="en-US"/>
        </a:p>
        <a:p>
          <a:r>
            <a:rPr lang="en-US"/>
            <a:t>Prioritize beverages for pricing optimization, promotional investment, and supply chain efficiency.</a:t>
          </a:r>
        </a:p>
        <a:p>
          <a:r>
            <a:rPr lang="en-US"/>
            <a:t>Conduct deeper margin and growth analysis on dairy, dried fruits, and nuts to identify expansion and cross-selling opportunities.</a:t>
          </a:r>
        </a:p>
        <a:p>
          <a:r>
            <a:rPr lang="en-US"/>
            <a:t>Assess category mix strategy to balance revenue concentration while sustaining growth.</a:t>
          </a:r>
        </a:p>
        <a:p>
          <a:pPr algn="l"/>
          <a:endParaRPr lang="en-US" sz="1100" b="1" u="sng"/>
        </a:p>
      </xdr:txBody>
    </xdr:sp>
    <xdr:clientData/>
  </xdr:twoCellAnchor>
  <xdr:twoCellAnchor>
    <xdr:from>
      <xdr:col>30</xdr:col>
      <xdr:colOff>276225</xdr:colOff>
      <xdr:row>0</xdr:row>
      <xdr:rowOff>85725</xdr:rowOff>
    </xdr:from>
    <xdr:to>
      <xdr:col>38</xdr:col>
      <xdr:colOff>28575</xdr:colOff>
      <xdr:row>17</xdr:row>
      <xdr:rowOff>123825</xdr:rowOff>
    </xdr:to>
    <xdr:sp macro="" textlink="">
      <xdr:nvSpPr>
        <xdr:cNvPr id="8" name="Rectangle: Rounded Corners 7">
          <a:extLst>
            <a:ext uri="{FF2B5EF4-FFF2-40B4-BE49-F238E27FC236}">
              <a16:creationId xmlns:a16="http://schemas.microsoft.com/office/drawing/2014/main" id="{1FDA6C6A-F040-2D37-E1DC-24C1FD8FA1B2}"/>
            </a:ext>
          </a:extLst>
        </xdr:cNvPr>
        <xdr:cNvSpPr/>
      </xdr:nvSpPr>
      <xdr:spPr>
        <a:xfrm>
          <a:off x="18564225" y="85725"/>
          <a:ext cx="4629150" cy="327660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IN</a:t>
          </a:r>
          <a:r>
            <a:rPr lang="en-US" sz="1100" b="1" u="sng" baseline="0"/>
            <a:t> ANALYSIS INSIGHTS OF TOP 6 SHIP CITY PERFORMANCE</a:t>
          </a:r>
        </a:p>
        <a:p>
          <a:endParaRPr lang="en-US" sz="1100" b="1" u="sng" baseline="0"/>
        </a:p>
        <a:p>
          <a:r>
            <a:rPr lang="en-US"/>
            <a:t> </a:t>
          </a:r>
          <a:r>
            <a:rPr lang="en-US" b="0"/>
            <a:t>New York emerges as the dominant contributor, significantly outperforming all other locations. Portland and Miami form a strong second tier, while Memphis, Chicago, and Milwaukee contribute comparatively smaller shares, indicating a steep revenue drop beyond the top three cities</a:t>
          </a:r>
          <a:r>
            <a:rPr lang="en-US"/>
            <a:t>.</a:t>
          </a:r>
        </a:p>
        <a:p>
          <a:r>
            <a:rPr lang="en-US" b="0"/>
            <a:t>we</a:t>
          </a:r>
          <a:r>
            <a:rPr lang="en-US" b="0" baseline="0"/>
            <a:t> can scale up new york operations by </a:t>
          </a:r>
          <a:r>
            <a:rPr lang="en-US" b="0"/>
            <a:t>Prioritizing service reliability, capacity expansion, and customer retention strategies</a:t>
          </a:r>
          <a:r>
            <a:rPr lang="en-US" b="0" baseline="0"/>
            <a:t> while we a</a:t>
          </a:r>
          <a:r>
            <a:rPr lang="en-US" b="0"/>
            <a:t>ccelerate growth in Portland and Miami by</a:t>
          </a:r>
          <a:r>
            <a:rPr lang="en-US" b="0" baseline="0"/>
            <a:t> </a:t>
          </a:r>
          <a:r>
            <a:rPr lang="en-US" b="0"/>
            <a:t>Investing in targeted marketing, faster delivery options, or partnership expansion to close the gap with New York.</a:t>
          </a:r>
          <a:r>
            <a:rPr lang="en-US" b="0" baseline="0"/>
            <a:t>while we </a:t>
          </a:r>
          <a:r>
            <a:rPr lang="en-US" b="0"/>
            <a:t>Diagnose the reason for underperformance in lower-tier cities.</a:t>
          </a:r>
        </a:p>
        <a:p>
          <a:endParaRPr lang="en-US"/>
        </a:p>
        <a:p>
          <a:pPr algn="l"/>
          <a:endParaRPr lang="en-US" sz="1100" b="1" u="sng"/>
        </a:p>
      </xdr:txBody>
    </xdr:sp>
    <xdr:clientData/>
  </xdr:twoCellAnchor>
  <xdr:twoCellAnchor>
    <xdr:from>
      <xdr:col>30</xdr:col>
      <xdr:colOff>285750</xdr:colOff>
      <xdr:row>20</xdr:row>
      <xdr:rowOff>19051</xdr:rowOff>
    </xdr:from>
    <xdr:to>
      <xdr:col>38</xdr:col>
      <xdr:colOff>9525</xdr:colOff>
      <xdr:row>33</xdr:row>
      <xdr:rowOff>66675</xdr:rowOff>
    </xdr:to>
    <xdr:sp macro="" textlink="">
      <xdr:nvSpPr>
        <xdr:cNvPr id="9" name="Rectangle: Rounded Corners 8">
          <a:extLst>
            <a:ext uri="{FF2B5EF4-FFF2-40B4-BE49-F238E27FC236}">
              <a16:creationId xmlns:a16="http://schemas.microsoft.com/office/drawing/2014/main" id="{2DA79286-81CC-6BC2-EC59-F76424738D43}"/>
            </a:ext>
          </a:extLst>
        </xdr:cNvPr>
        <xdr:cNvSpPr/>
      </xdr:nvSpPr>
      <xdr:spPr>
        <a:xfrm>
          <a:off x="18573750" y="3829051"/>
          <a:ext cx="4600575" cy="2524124"/>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u="sng"/>
            <a:t>IN ANALYSIS INSIGHTS OF CITIES BY REVENUE GENERATED</a:t>
          </a:r>
        </a:p>
        <a:p>
          <a:r>
            <a:rPr lang="en-US" b="0" u="none"/>
            <a:t>New York’s sales lead, highlights its role as the company’s primary revenue hub, driven by higher demand intensity or stronger customer concentration.</a:t>
          </a:r>
        </a:p>
        <a:p>
          <a:r>
            <a:rPr lang="en-US" b="0" u="none"/>
            <a:t>The narrow gap between Portland and Miami suggests similar market potential and operational effectiveness.while,The declining trend from Miami to Chicago indicates diminishing sales efficiency or market penetration in lower-performing cities</a:t>
          </a:r>
          <a:r>
            <a:rPr lang="en-US" b="0" u="sng"/>
            <a:t>.</a:t>
          </a:r>
        </a:p>
        <a:p>
          <a:r>
            <a:rPr lang="en-US" b="0" u="none"/>
            <a:t>we</a:t>
          </a:r>
          <a:r>
            <a:rPr lang="en-US" b="0" u="none" baseline="0"/>
            <a:t> can </a:t>
          </a:r>
          <a:r>
            <a:rPr lang="en-US" b="0" u="none"/>
            <a:t>protect New York’s performance through retention-focused strategies and capacity support.while</a:t>
          </a:r>
          <a:r>
            <a:rPr lang="en-US" b="0" u="none" baseline="0"/>
            <a:t> </a:t>
          </a:r>
          <a:r>
            <a:rPr lang="en-US" b="0" u="none"/>
            <a:t>Exploring growth levers in Portland and Miami to elevate them closer to New York’s performance level</a:t>
          </a:r>
          <a:r>
            <a:rPr lang="en-US" b="0" u="none" baseline="0"/>
            <a:t> and </a:t>
          </a:r>
          <a:endParaRPr lang="en-US" b="0" u="none"/>
        </a:p>
        <a:p>
          <a:r>
            <a:rPr lang="en-US" b="0" u="none"/>
            <a:t>Conducting a root-cause analysis for the under performing cities.</a:t>
          </a:r>
        </a:p>
        <a:p>
          <a:endParaRPr lang="en-US" b="0" u="sng"/>
        </a:p>
        <a:p>
          <a:pPr algn="l"/>
          <a:endParaRPr lang="en-US" sz="1100"/>
        </a:p>
      </xdr:txBody>
    </xdr:sp>
    <xdr:clientData/>
  </xdr:twoCellAnchor>
  <xdr:twoCellAnchor>
    <xdr:from>
      <xdr:col>38</xdr:col>
      <xdr:colOff>95250</xdr:colOff>
      <xdr:row>1</xdr:row>
      <xdr:rowOff>0</xdr:rowOff>
    </xdr:from>
    <xdr:to>
      <xdr:col>44</xdr:col>
      <xdr:colOff>400050</xdr:colOff>
      <xdr:row>17</xdr:row>
      <xdr:rowOff>142875</xdr:rowOff>
    </xdr:to>
    <xdr:sp macro="" textlink="">
      <xdr:nvSpPr>
        <xdr:cNvPr id="10" name="Rectangle: Rounded Corners 9">
          <a:extLst>
            <a:ext uri="{FF2B5EF4-FFF2-40B4-BE49-F238E27FC236}">
              <a16:creationId xmlns:a16="http://schemas.microsoft.com/office/drawing/2014/main" id="{B59B1679-656B-D430-ADB8-FD192FA9F369}"/>
            </a:ext>
          </a:extLst>
        </xdr:cNvPr>
        <xdr:cNvSpPr/>
      </xdr:nvSpPr>
      <xdr:spPr>
        <a:xfrm>
          <a:off x="23260050" y="190500"/>
          <a:ext cx="3962400" cy="31908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IN</a:t>
          </a:r>
          <a:r>
            <a:rPr lang="en-US" sz="1100" b="1" u="sng" baseline="0"/>
            <a:t> ANALYSIS OF STATE SALES PERFORMANCE</a:t>
          </a:r>
        </a:p>
        <a:p>
          <a:pPr algn="l"/>
          <a:r>
            <a:rPr lang="en-US" b="1"/>
            <a:t>New York (NY)</a:t>
          </a:r>
          <a:r>
            <a:rPr lang="en-US"/>
            <a:t> emerges as the </a:t>
          </a:r>
          <a:r>
            <a:rPr lang="en-US" b="1"/>
            <a:t>top-performing state</a:t>
          </a:r>
          <a:r>
            <a:rPr lang="en-US"/>
            <a:t>, generating the highest revenue,</a:t>
          </a:r>
          <a:r>
            <a:rPr lang="en-US" b="1"/>
            <a:t> Oregon (OR), and Florida (FL)</a:t>
          </a:r>
          <a:r>
            <a:rPr lang="en-US"/>
            <a:t> also show strong performance relative to other regions</a:t>
          </a:r>
        </a:p>
        <a:p>
          <a:pPr algn="l"/>
          <a:r>
            <a:rPr lang="en-US"/>
            <a:t>a significant number of states contribute </a:t>
          </a:r>
          <a:r>
            <a:rPr lang="en-US" b="1"/>
            <a:t>low or negligible revenue</a:t>
          </a:r>
          <a:r>
            <a:rPr lang="en-US"/>
            <a:t>, indicating </a:t>
          </a:r>
          <a:r>
            <a:rPr lang="en-US" b="1"/>
            <a:t>limited market penetration or underdeveloped sales activity</a:t>
          </a:r>
          <a:r>
            <a:rPr lang="en-US"/>
            <a:t> in those areas</a:t>
          </a:r>
        </a:p>
        <a:p>
          <a:pPr algn="l"/>
          <a:r>
            <a:rPr lang="en-US" sz="1100" b="1" u="sng"/>
            <a:t>RECOMMENDATIONS</a:t>
          </a:r>
        </a:p>
        <a:p>
          <a:r>
            <a:rPr lang="en-US" b="1" u="none"/>
            <a:t>Defend and scale high-performing states (e.g., NY, WA, OR, FL) through targeted retention, loyalty programs, and localized promotion,and we should Conduct market diagnostics in low-performing states to identify barriers such as distribution gaps, pricing misalignment, or low brand awareness</a:t>
          </a:r>
          <a:r>
            <a:rPr lang="en-US"/>
            <a:t>.</a:t>
          </a:r>
        </a:p>
        <a:p>
          <a:pPr algn="l"/>
          <a:endParaRPr lang="en-US" sz="1100"/>
        </a:p>
      </xdr:txBody>
    </xdr:sp>
    <xdr:clientData/>
  </xdr:twoCellAnchor>
  <xdr:twoCellAnchor>
    <xdr:from>
      <xdr:col>38</xdr:col>
      <xdr:colOff>304799</xdr:colOff>
      <xdr:row>20</xdr:row>
      <xdr:rowOff>95249</xdr:rowOff>
    </xdr:from>
    <xdr:to>
      <xdr:col>50</xdr:col>
      <xdr:colOff>200024</xdr:colOff>
      <xdr:row>34</xdr:row>
      <xdr:rowOff>142875</xdr:rowOff>
    </xdr:to>
    <xdr:sp macro="" textlink="">
      <xdr:nvSpPr>
        <xdr:cNvPr id="11" name="Rectangle: Rounded Corners 10">
          <a:extLst>
            <a:ext uri="{FF2B5EF4-FFF2-40B4-BE49-F238E27FC236}">
              <a16:creationId xmlns:a16="http://schemas.microsoft.com/office/drawing/2014/main" id="{FAACE665-571A-AD76-3C7E-1A884CE5F79F}"/>
            </a:ext>
          </a:extLst>
        </xdr:cNvPr>
        <xdr:cNvSpPr/>
      </xdr:nvSpPr>
      <xdr:spPr>
        <a:xfrm>
          <a:off x="23469599" y="3905249"/>
          <a:ext cx="7210425" cy="2714626"/>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sng"/>
            <a:t>IN</a:t>
          </a:r>
          <a:r>
            <a:rPr lang="en-US" sz="1100" b="1" u="sng" baseline="0"/>
            <a:t> ANALYSIS INSIGHTS OF TRANSACTION BY AMOUNTS</a:t>
          </a:r>
        </a:p>
        <a:p>
          <a:r>
            <a:rPr lang="en-US" b="0" u="none"/>
            <a:t>The transaction distribution is heavily skewed toward low-value transactions, with the smallest amount range accounting for the highest transaction volume (218 transactions). As transaction values increase, the frequency drops sharply, with only a handful of high-value transactions (8, 2, and 1 respectively) recorded at the upper end.</a:t>
          </a:r>
        </a:p>
        <a:p>
          <a:r>
            <a:rPr lang="en-US" b="0" u="none"/>
            <a:t>This pattern indicates that the company’s revenue activity is largely volume-driven rather than value-driven, relying on many small transactions instead of fewer high-ticket sales. While this suggests strong customer engagement and accessibility of products or services, it also highlights a limited penetration into higher-value transaction segments.</a:t>
          </a:r>
        </a:p>
        <a:p>
          <a:pPr algn="l"/>
          <a:r>
            <a:rPr lang="en-US" sz="1100" b="1" u="sng"/>
            <a:t>Recommendation</a:t>
          </a:r>
        </a:p>
        <a:p>
          <a:r>
            <a:rPr lang="en-US" b="0" u="none"/>
            <a:t>Develop premium bundles or higher-value product tiers to capture more value per customer.</a:t>
          </a:r>
        </a:p>
        <a:p>
          <a:r>
            <a:rPr lang="en-US" b="0" u="none"/>
            <a:t>Target repeat customers with personalized offers to gradually move them into higher transaction brackets.</a:t>
          </a: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2</xdr:row>
      <xdr:rowOff>66676</xdr:rowOff>
    </xdr:from>
    <xdr:to>
      <xdr:col>11</xdr:col>
      <xdr:colOff>285750</xdr:colOff>
      <xdr:row>17</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95248</xdr:colOff>
      <xdr:row>3</xdr:row>
      <xdr:rowOff>100012</xdr:rowOff>
    </xdr:from>
    <xdr:to>
      <xdr:col>11</xdr:col>
      <xdr:colOff>609599</xdr:colOff>
      <xdr:row>15</xdr:row>
      <xdr:rowOff>85725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95248</xdr:colOff>
      <xdr:row>3</xdr:row>
      <xdr:rowOff>100012</xdr:rowOff>
    </xdr:from>
    <xdr:to>
      <xdr:col>11</xdr:col>
      <xdr:colOff>609599</xdr:colOff>
      <xdr:row>15</xdr:row>
      <xdr:rowOff>85725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95248</xdr:colOff>
      <xdr:row>3</xdr:row>
      <xdr:rowOff>100012</xdr:rowOff>
    </xdr:from>
    <xdr:to>
      <xdr:col>11</xdr:col>
      <xdr:colOff>609599</xdr:colOff>
      <xdr:row>15</xdr:row>
      <xdr:rowOff>85725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428625</xdr:colOff>
      <xdr:row>3</xdr:row>
      <xdr:rowOff>80962</xdr:rowOff>
    </xdr:from>
    <xdr:to>
      <xdr:col>12</xdr:col>
      <xdr:colOff>419100</xdr:colOff>
      <xdr:row>17</xdr:row>
      <xdr:rowOff>157162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85D148B-FF31-FE45-E5F4-1EEE5959EC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38650" y="652462"/>
              <a:ext cx="42576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19048</xdr:colOff>
      <xdr:row>5</xdr:row>
      <xdr:rowOff>38100</xdr:rowOff>
    </xdr:from>
    <xdr:to>
      <xdr:col>11</xdr:col>
      <xdr:colOff>533399</xdr:colOff>
      <xdr:row>17</xdr:row>
      <xdr:rowOff>19050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57149</xdr:colOff>
      <xdr:row>4</xdr:row>
      <xdr:rowOff>19050</xdr:rowOff>
    </xdr:from>
    <xdr:to>
      <xdr:col>15</xdr:col>
      <xdr:colOff>333374</xdr:colOff>
      <xdr:row>16</xdr:row>
      <xdr:rowOff>95250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6F62BB7-E05D-1BB6-BF81-AB41ACCB39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19649" y="781050"/>
              <a:ext cx="5762625" cy="236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76200</xdr:colOff>
      <xdr:row>2</xdr:row>
      <xdr:rowOff>176212</xdr:rowOff>
    </xdr:from>
    <xdr:to>
      <xdr:col>10</xdr:col>
      <xdr:colOff>114300</xdr:colOff>
      <xdr:row>17</xdr:row>
      <xdr:rowOff>61912</xdr:rowOff>
    </xdr:to>
    <xdr:graphicFrame macro="">
      <xdr:nvGraphicFramePr>
        <xdr:cNvPr id="3" name="Chart 2">
          <a:extLst>
            <a:ext uri="{FF2B5EF4-FFF2-40B4-BE49-F238E27FC236}">
              <a16:creationId xmlns:a16="http://schemas.microsoft.com/office/drawing/2014/main" id="{B9DDD10C-5951-32DA-F34F-FEE9B5576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214312</xdr:colOff>
      <xdr:row>1</xdr:row>
      <xdr:rowOff>95248</xdr:rowOff>
    </xdr:from>
    <xdr:to>
      <xdr:col>50</xdr:col>
      <xdr:colOff>428625</xdr:colOff>
      <xdr:row>67</xdr:row>
      <xdr:rowOff>95249</xdr:rowOff>
    </xdr:to>
    <xdr:sp macro="" textlink="">
      <xdr:nvSpPr>
        <xdr:cNvPr id="2" name="Rectangle: Rounded Corners 1">
          <a:extLst>
            <a:ext uri="{FF2B5EF4-FFF2-40B4-BE49-F238E27FC236}">
              <a16:creationId xmlns:a16="http://schemas.microsoft.com/office/drawing/2014/main" id="{F25356B5-73C5-4FC9-982C-81606BEBD88D}"/>
            </a:ext>
          </a:extLst>
        </xdr:cNvPr>
        <xdr:cNvSpPr/>
      </xdr:nvSpPr>
      <xdr:spPr>
        <a:xfrm>
          <a:off x="214312" y="285748"/>
          <a:ext cx="31170563" cy="12573001"/>
        </a:xfrm>
        <a:prstGeom prst="roundRect">
          <a:avLst>
            <a:gd name="adj" fmla="val 2028"/>
          </a:avLst>
        </a:prstGeom>
        <a:solidFill>
          <a:schemeClr val="bg1">
            <a:lumMod val="85000"/>
          </a:schemeClr>
        </a:solidFill>
        <a:effectLst>
          <a:outerShdw dist="508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309562</xdr:colOff>
      <xdr:row>2</xdr:row>
      <xdr:rowOff>95250</xdr:rowOff>
    </xdr:from>
    <xdr:to>
      <xdr:col>6</xdr:col>
      <xdr:colOff>119062</xdr:colOff>
      <xdr:row>66</xdr:row>
      <xdr:rowOff>95249</xdr:rowOff>
    </xdr:to>
    <xdr:sp macro="" textlink="">
      <xdr:nvSpPr>
        <xdr:cNvPr id="3" name="Rectangle: Rounded Corners 2">
          <a:extLst>
            <a:ext uri="{FF2B5EF4-FFF2-40B4-BE49-F238E27FC236}">
              <a16:creationId xmlns:a16="http://schemas.microsoft.com/office/drawing/2014/main" id="{E9651B97-61EB-49AD-B9A7-E386CD231CDC}"/>
            </a:ext>
          </a:extLst>
        </xdr:cNvPr>
        <xdr:cNvSpPr/>
      </xdr:nvSpPr>
      <xdr:spPr>
        <a:xfrm>
          <a:off x="309562" y="476250"/>
          <a:ext cx="3524250" cy="12191999"/>
        </a:xfrm>
        <a:prstGeom prst="roundRect">
          <a:avLst>
            <a:gd name="adj" fmla="val 135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595314</xdr:colOff>
      <xdr:row>4</xdr:row>
      <xdr:rowOff>166688</xdr:rowOff>
    </xdr:from>
    <xdr:to>
      <xdr:col>21</xdr:col>
      <xdr:colOff>214312</xdr:colOff>
      <xdr:row>13</xdr:row>
      <xdr:rowOff>0</xdr:rowOff>
    </xdr:to>
    <xdr:sp macro="" textlink="">
      <xdr:nvSpPr>
        <xdr:cNvPr id="12" name="Rectangle: Rounded Corners 11">
          <a:extLst>
            <a:ext uri="{FF2B5EF4-FFF2-40B4-BE49-F238E27FC236}">
              <a16:creationId xmlns:a16="http://schemas.microsoft.com/office/drawing/2014/main" id="{FA90619C-DA96-4B87-BB16-5F733251C9FC}"/>
            </a:ext>
          </a:extLst>
        </xdr:cNvPr>
        <xdr:cNvSpPr/>
      </xdr:nvSpPr>
      <xdr:spPr>
        <a:xfrm>
          <a:off x="8643939" y="928688"/>
          <a:ext cx="4571998" cy="1547812"/>
        </a:xfrm>
        <a:prstGeom prst="roundRect">
          <a:avLst>
            <a:gd name="adj" fmla="val 13542"/>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200025</xdr:colOff>
      <xdr:row>21</xdr:row>
      <xdr:rowOff>87631</xdr:rowOff>
    </xdr:from>
    <xdr:to>
      <xdr:col>3</xdr:col>
      <xdr:colOff>245744</xdr:colOff>
      <xdr:row>21</xdr:row>
      <xdr:rowOff>133350</xdr:rowOff>
    </xdr:to>
    <xdr:sp macro="" textlink="">
      <xdr:nvSpPr>
        <xdr:cNvPr id="24" name="TextBox 23">
          <a:extLst>
            <a:ext uri="{FF2B5EF4-FFF2-40B4-BE49-F238E27FC236}">
              <a16:creationId xmlns:a16="http://schemas.microsoft.com/office/drawing/2014/main" id="{4CD24C1B-EE3C-DBF3-A9E1-AC7782B5920B}"/>
            </a:ext>
          </a:extLst>
        </xdr:cNvPr>
        <xdr:cNvSpPr txBox="1"/>
      </xdr:nvSpPr>
      <xdr:spPr>
        <a:xfrm>
          <a:off x="2028825" y="408813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142976</xdr:colOff>
      <xdr:row>1</xdr:row>
      <xdr:rowOff>0</xdr:rowOff>
    </xdr:from>
    <xdr:to>
      <xdr:col>22</xdr:col>
      <xdr:colOff>190500</xdr:colOff>
      <xdr:row>4</xdr:row>
      <xdr:rowOff>166687</xdr:rowOff>
    </xdr:to>
    <xdr:sp macro="" textlink="">
      <xdr:nvSpPr>
        <xdr:cNvPr id="25" name="TextBox 24">
          <a:extLst>
            <a:ext uri="{FF2B5EF4-FFF2-40B4-BE49-F238E27FC236}">
              <a16:creationId xmlns:a16="http://schemas.microsoft.com/office/drawing/2014/main" id="{DB5A54AA-5511-3BF2-919C-98FFB5FDDD38}"/>
            </a:ext>
          </a:extLst>
        </xdr:cNvPr>
        <xdr:cNvSpPr txBox="1"/>
      </xdr:nvSpPr>
      <xdr:spPr>
        <a:xfrm>
          <a:off x="3857726" y="190500"/>
          <a:ext cx="9953524" cy="73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rgbClr val="215733"/>
              </a:solidFill>
              <a:latin typeface="Arial Rounded MT Bold" panose="020F0704030504030204" pitchFamily="34" charset="0"/>
            </a:rPr>
            <a:t>PrimeEdge</a:t>
          </a:r>
          <a:r>
            <a:rPr lang="en-US" sz="4400" b="1" baseline="0">
              <a:solidFill>
                <a:srgbClr val="215733"/>
              </a:solidFill>
              <a:latin typeface="Arial Rounded MT Bold" panose="020F0704030504030204" pitchFamily="34" charset="0"/>
            </a:rPr>
            <a:t> Retail Insights</a:t>
          </a:r>
          <a:endParaRPr lang="en-US" sz="4400" b="1">
            <a:solidFill>
              <a:srgbClr val="215733"/>
            </a:solidFill>
            <a:latin typeface="Arial Rounded MT Bold" panose="020F0704030504030204" pitchFamily="34" charset="0"/>
          </a:endParaRPr>
        </a:p>
      </xdr:txBody>
    </xdr:sp>
    <xdr:clientData/>
  </xdr:twoCellAnchor>
  <xdr:twoCellAnchor>
    <xdr:from>
      <xdr:col>1</xdr:col>
      <xdr:colOff>238126</xdr:colOff>
      <xdr:row>9</xdr:row>
      <xdr:rowOff>24919</xdr:rowOff>
    </xdr:from>
    <xdr:to>
      <xdr:col>5</xdr:col>
      <xdr:colOff>261938</xdr:colOff>
      <xdr:row>12</xdr:row>
      <xdr:rowOff>71436</xdr:rowOff>
    </xdr:to>
    <xdr:sp macro="" textlink="">
      <xdr:nvSpPr>
        <xdr:cNvPr id="28" name="TextBox 27">
          <a:extLst>
            <a:ext uri="{FF2B5EF4-FFF2-40B4-BE49-F238E27FC236}">
              <a16:creationId xmlns:a16="http://schemas.microsoft.com/office/drawing/2014/main" id="{5014E645-EAC3-E96F-96F2-357F00A85B6B}"/>
            </a:ext>
          </a:extLst>
        </xdr:cNvPr>
        <xdr:cNvSpPr txBox="1"/>
      </xdr:nvSpPr>
      <xdr:spPr>
        <a:xfrm>
          <a:off x="857251" y="1739419"/>
          <a:ext cx="2500312" cy="618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215733"/>
              </a:solidFill>
              <a:latin typeface="Arial Rounded MT Bold" panose="020F0704030504030204" pitchFamily="34" charset="0"/>
            </a:rPr>
            <a:t>Pre</a:t>
          </a:r>
          <a:r>
            <a:rPr lang="en-US" sz="2800" b="1" baseline="0">
              <a:solidFill>
                <a:srgbClr val="215733"/>
              </a:solidFill>
              <a:latin typeface="Arial Rounded MT Bold" panose="020F0704030504030204" pitchFamily="34" charset="0"/>
            </a:rPr>
            <a:t> Analysis</a:t>
          </a:r>
          <a:endParaRPr lang="en-US" sz="2800" b="1">
            <a:solidFill>
              <a:srgbClr val="215733"/>
            </a:solidFill>
            <a:latin typeface="Arial Rounded MT Bold" panose="020F0704030504030204" pitchFamily="34" charset="0"/>
          </a:endParaRPr>
        </a:p>
      </xdr:txBody>
    </xdr:sp>
    <xdr:clientData/>
  </xdr:twoCellAnchor>
  <xdr:twoCellAnchor editAs="oneCell">
    <xdr:from>
      <xdr:col>2</xdr:col>
      <xdr:colOff>333374</xdr:colOff>
      <xdr:row>14</xdr:row>
      <xdr:rowOff>129928</xdr:rowOff>
    </xdr:from>
    <xdr:to>
      <xdr:col>4</xdr:col>
      <xdr:colOff>166687</xdr:colOff>
      <xdr:row>18</xdr:row>
      <xdr:rowOff>118846</xdr:rowOff>
    </xdr:to>
    <xdr:pic>
      <xdr:nvPicPr>
        <xdr:cNvPr id="30" name="Graphic 29" descr="Person with idea with solid fill">
          <a:extLst>
            <a:ext uri="{FF2B5EF4-FFF2-40B4-BE49-F238E27FC236}">
              <a16:creationId xmlns:a16="http://schemas.microsoft.com/office/drawing/2014/main" id="{484AFE54-5668-E5F2-7015-6DCAEA98DD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1624" y="2796928"/>
          <a:ext cx="1071563" cy="750918"/>
        </a:xfrm>
        <a:prstGeom prst="rect">
          <a:avLst/>
        </a:prstGeom>
      </xdr:spPr>
    </xdr:pic>
    <xdr:clientData/>
  </xdr:twoCellAnchor>
  <xdr:twoCellAnchor>
    <xdr:from>
      <xdr:col>1</xdr:col>
      <xdr:colOff>357187</xdr:colOff>
      <xdr:row>18</xdr:row>
      <xdr:rowOff>172490</xdr:rowOff>
    </xdr:from>
    <xdr:to>
      <xdr:col>5</xdr:col>
      <xdr:colOff>71437</xdr:colOff>
      <xdr:row>22</xdr:row>
      <xdr:rowOff>71437</xdr:rowOff>
    </xdr:to>
    <xdr:sp macro="" textlink="">
      <xdr:nvSpPr>
        <xdr:cNvPr id="31" name="TextBox 30">
          <a:extLst>
            <a:ext uri="{FF2B5EF4-FFF2-40B4-BE49-F238E27FC236}">
              <a16:creationId xmlns:a16="http://schemas.microsoft.com/office/drawing/2014/main" id="{301173CB-941C-8FC9-E248-64C85D50F8DB}"/>
            </a:ext>
          </a:extLst>
        </xdr:cNvPr>
        <xdr:cNvSpPr txBox="1"/>
      </xdr:nvSpPr>
      <xdr:spPr>
        <a:xfrm>
          <a:off x="976312" y="3601490"/>
          <a:ext cx="2190750" cy="66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rgbClr val="215733"/>
              </a:solidFill>
              <a:latin typeface="Arial Rounded MT Bold" panose="020F0704030504030204" pitchFamily="34" charset="0"/>
            </a:rPr>
            <a:t>In Analysis</a:t>
          </a:r>
          <a:endParaRPr lang="en-US" sz="2800" b="1">
            <a:solidFill>
              <a:srgbClr val="215733"/>
            </a:solidFill>
            <a:latin typeface="Arial Rounded MT Bold" panose="020F0704030504030204" pitchFamily="34" charset="0"/>
          </a:endParaRPr>
        </a:p>
      </xdr:txBody>
    </xdr:sp>
    <xdr:clientData/>
  </xdr:twoCellAnchor>
  <xdr:twoCellAnchor editAs="oneCell">
    <xdr:from>
      <xdr:col>1</xdr:col>
      <xdr:colOff>571500</xdr:colOff>
      <xdr:row>24</xdr:row>
      <xdr:rowOff>175339</xdr:rowOff>
    </xdr:from>
    <xdr:to>
      <xdr:col>4</xdr:col>
      <xdr:colOff>166686</xdr:colOff>
      <xdr:row>30</xdr:row>
      <xdr:rowOff>44370</xdr:rowOff>
    </xdr:to>
    <xdr:pic>
      <xdr:nvPicPr>
        <xdr:cNvPr id="33" name="Graphic 32" descr="Magnifying glass with solid fill">
          <a:extLst>
            <a:ext uri="{FF2B5EF4-FFF2-40B4-BE49-F238E27FC236}">
              <a16:creationId xmlns:a16="http://schemas.microsoft.com/office/drawing/2014/main" id="{6AB5ECEF-3703-7BE7-900C-7997C50243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0625" y="4747339"/>
          <a:ext cx="1452561" cy="1012031"/>
        </a:xfrm>
        <a:prstGeom prst="rect">
          <a:avLst/>
        </a:prstGeom>
      </xdr:spPr>
    </xdr:pic>
    <xdr:clientData/>
  </xdr:twoCellAnchor>
  <xdr:twoCellAnchor>
    <xdr:from>
      <xdr:col>1</xdr:col>
      <xdr:colOff>119062</xdr:colOff>
      <xdr:row>30</xdr:row>
      <xdr:rowOff>65804</xdr:rowOff>
    </xdr:from>
    <xdr:to>
      <xdr:col>5</xdr:col>
      <xdr:colOff>95249</xdr:colOff>
      <xdr:row>33</xdr:row>
      <xdr:rowOff>71437</xdr:rowOff>
    </xdr:to>
    <xdr:sp macro="" textlink="">
      <xdr:nvSpPr>
        <xdr:cNvPr id="34" name="TextBox 33">
          <a:extLst>
            <a:ext uri="{FF2B5EF4-FFF2-40B4-BE49-F238E27FC236}">
              <a16:creationId xmlns:a16="http://schemas.microsoft.com/office/drawing/2014/main" id="{4C5FE9B4-1832-AF9B-8030-5AF15D9F63CD}"/>
            </a:ext>
          </a:extLst>
        </xdr:cNvPr>
        <xdr:cNvSpPr txBox="1"/>
      </xdr:nvSpPr>
      <xdr:spPr>
        <a:xfrm>
          <a:off x="738187" y="5780804"/>
          <a:ext cx="2452687" cy="577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rgbClr val="215733"/>
              </a:solidFill>
              <a:latin typeface="Arial Rounded MT Bold" panose="020F0704030504030204" pitchFamily="34" charset="0"/>
            </a:rPr>
            <a:t>Observation</a:t>
          </a:r>
          <a:endParaRPr lang="en-US" sz="2800" b="1">
            <a:solidFill>
              <a:srgbClr val="215733"/>
            </a:solidFill>
            <a:latin typeface="Arial Rounded MT Bold" panose="020F0704030504030204" pitchFamily="34" charset="0"/>
          </a:endParaRPr>
        </a:p>
      </xdr:txBody>
    </xdr:sp>
    <xdr:clientData/>
  </xdr:twoCellAnchor>
  <xdr:twoCellAnchor editAs="oneCell">
    <xdr:from>
      <xdr:col>1</xdr:col>
      <xdr:colOff>595314</xdr:colOff>
      <xdr:row>36</xdr:row>
      <xdr:rowOff>124463</xdr:rowOff>
    </xdr:from>
    <xdr:to>
      <xdr:col>4</xdr:col>
      <xdr:colOff>119063</xdr:colOff>
      <xdr:row>40</xdr:row>
      <xdr:rowOff>67991</xdr:rowOff>
    </xdr:to>
    <xdr:pic>
      <xdr:nvPicPr>
        <xdr:cNvPr id="36" name="Graphic 35" descr="Rocket with solid fill">
          <a:extLst>
            <a:ext uri="{FF2B5EF4-FFF2-40B4-BE49-F238E27FC236}">
              <a16:creationId xmlns:a16="http://schemas.microsoft.com/office/drawing/2014/main" id="{E18DC9AC-1DED-D584-771B-C019F1B98D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4439" y="6982463"/>
          <a:ext cx="1381124" cy="705528"/>
        </a:xfrm>
        <a:prstGeom prst="rect">
          <a:avLst/>
        </a:prstGeom>
      </xdr:spPr>
    </xdr:pic>
    <xdr:clientData/>
  </xdr:twoCellAnchor>
  <xdr:twoCellAnchor>
    <xdr:from>
      <xdr:col>0</xdr:col>
      <xdr:colOff>285750</xdr:colOff>
      <xdr:row>40</xdr:row>
      <xdr:rowOff>28908</xdr:rowOff>
    </xdr:from>
    <xdr:to>
      <xdr:col>6</xdr:col>
      <xdr:colOff>119061</xdr:colOff>
      <xdr:row>43</xdr:row>
      <xdr:rowOff>166688</xdr:rowOff>
    </xdr:to>
    <xdr:sp macro="" textlink="">
      <xdr:nvSpPr>
        <xdr:cNvPr id="37" name="TextBox 36">
          <a:extLst>
            <a:ext uri="{FF2B5EF4-FFF2-40B4-BE49-F238E27FC236}">
              <a16:creationId xmlns:a16="http://schemas.microsoft.com/office/drawing/2014/main" id="{153EEFCD-BA1D-4FE7-7CBF-45D1C8C53AA8}"/>
            </a:ext>
          </a:extLst>
        </xdr:cNvPr>
        <xdr:cNvSpPr txBox="1"/>
      </xdr:nvSpPr>
      <xdr:spPr>
        <a:xfrm>
          <a:off x="285750" y="7648908"/>
          <a:ext cx="3548061" cy="70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215733"/>
              </a:solidFill>
              <a:latin typeface="Arial Rounded MT Bold" panose="020F0704030504030204" pitchFamily="34" charset="0"/>
            </a:rPr>
            <a:t>Recommendations</a:t>
          </a:r>
        </a:p>
      </xdr:txBody>
    </xdr:sp>
    <xdr:clientData/>
  </xdr:twoCellAnchor>
  <xdr:twoCellAnchor editAs="oneCell">
    <xdr:from>
      <xdr:col>2</xdr:col>
      <xdr:colOff>83343</xdr:colOff>
      <xdr:row>44</xdr:row>
      <xdr:rowOff>95250</xdr:rowOff>
    </xdr:from>
    <xdr:to>
      <xdr:col>4</xdr:col>
      <xdr:colOff>71437</xdr:colOff>
      <xdr:row>50</xdr:row>
      <xdr:rowOff>74458</xdr:rowOff>
    </xdr:to>
    <xdr:pic>
      <xdr:nvPicPr>
        <xdr:cNvPr id="39" name="Graphic 38" descr="Bar graph with upward trend with solid fill">
          <a:extLst>
            <a:ext uri="{FF2B5EF4-FFF2-40B4-BE49-F238E27FC236}">
              <a16:creationId xmlns:a16="http://schemas.microsoft.com/office/drawing/2014/main" id="{02158A20-06A7-5FF3-826B-697BB0FCEB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21593" y="8477250"/>
          <a:ext cx="1226344" cy="1122208"/>
        </a:xfrm>
        <a:prstGeom prst="rect">
          <a:avLst/>
        </a:prstGeom>
      </xdr:spPr>
    </xdr:pic>
    <xdr:clientData/>
  </xdr:twoCellAnchor>
  <xdr:twoCellAnchor>
    <xdr:from>
      <xdr:col>1</xdr:col>
      <xdr:colOff>583406</xdr:colOff>
      <xdr:row>50</xdr:row>
      <xdr:rowOff>29213</xdr:rowOff>
    </xdr:from>
    <xdr:to>
      <xdr:col>5</xdr:col>
      <xdr:colOff>119063</xdr:colOff>
      <xdr:row>53</xdr:row>
      <xdr:rowOff>47625</xdr:rowOff>
    </xdr:to>
    <xdr:sp macro="" textlink="">
      <xdr:nvSpPr>
        <xdr:cNvPr id="40" name="TextBox 39">
          <a:extLst>
            <a:ext uri="{FF2B5EF4-FFF2-40B4-BE49-F238E27FC236}">
              <a16:creationId xmlns:a16="http://schemas.microsoft.com/office/drawing/2014/main" id="{8F7627F7-E05A-0716-6A9B-1A4E4BE0F714}"/>
            </a:ext>
          </a:extLst>
        </xdr:cNvPr>
        <xdr:cNvSpPr txBox="1"/>
      </xdr:nvSpPr>
      <xdr:spPr>
        <a:xfrm>
          <a:off x="1202531" y="9554213"/>
          <a:ext cx="2012157" cy="589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215733"/>
              </a:solidFill>
              <a:latin typeface="Arial Rounded MT Bold" panose="020F0704030504030204" pitchFamily="34" charset="0"/>
            </a:rPr>
            <a:t>Insights</a:t>
          </a:r>
        </a:p>
      </xdr:txBody>
    </xdr:sp>
    <xdr:clientData/>
  </xdr:twoCellAnchor>
  <xdr:twoCellAnchor editAs="oneCell">
    <xdr:from>
      <xdr:col>2</xdr:col>
      <xdr:colOff>102393</xdr:colOff>
      <xdr:row>54</xdr:row>
      <xdr:rowOff>166687</xdr:rowOff>
    </xdr:from>
    <xdr:to>
      <xdr:col>4</xdr:col>
      <xdr:colOff>333374</xdr:colOff>
      <xdr:row>60</xdr:row>
      <xdr:rowOff>47624</xdr:rowOff>
    </xdr:to>
    <xdr:pic>
      <xdr:nvPicPr>
        <xdr:cNvPr id="42" name="Graphic 41" descr="Document with solid fill">
          <a:extLst>
            <a:ext uri="{FF2B5EF4-FFF2-40B4-BE49-F238E27FC236}">
              <a16:creationId xmlns:a16="http://schemas.microsoft.com/office/drawing/2014/main" id="{F14B6ECC-02B5-6C5F-5D78-9688F35BBF2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40643" y="10453687"/>
          <a:ext cx="1469231" cy="1023937"/>
        </a:xfrm>
        <a:prstGeom prst="rect">
          <a:avLst/>
        </a:prstGeom>
      </xdr:spPr>
    </xdr:pic>
    <xdr:clientData/>
  </xdr:twoCellAnchor>
  <xdr:twoCellAnchor>
    <xdr:from>
      <xdr:col>1</xdr:col>
      <xdr:colOff>130968</xdr:colOff>
      <xdr:row>60</xdr:row>
      <xdr:rowOff>134155</xdr:rowOff>
    </xdr:from>
    <xdr:to>
      <xdr:col>5</xdr:col>
      <xdr:colOff>309561</xdr:colOff>
      <xdr:row>64</xdr:row>
      <xdr:rowOff>47625</xdr:rowOff>
    </xdr:to>
    <xdr:sp macro="" textlink="">
      <xdr:nvSpPr>
        <xdr:cNvPr id="43" name="TextBox 42">
          <a:extLst>
            <a:ext uri="{FF2B5EF4-FFF2-40B4-BE49-F238E27FC236}">
              <a16:creationId xmlns:a16="http://schemas.microsoft.com/office/drawing/2014/main" id="{B0D5C63A-A584-8AE9-0B5B-C075B537C9D4}"/>
            </a:ext>
          </a:extLst>
        </xdr:cNvPr>
        <xdr:cNvSpPr txBox="1"/>
      </xdr:nvSpPr>
      <xdr:spPr>
        <a:xfrm>
          <a:off x="750093" y="11564155"/>
          <a:ext cx="2655093" cy="67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215733"/>
              </a:solidFill>
              <a:latin typeface="Arial Rounded MT Bold" panose="020F0704030504030204" pitchFamily="34" charset="0"/>
            </a:rPr>
            <a:t>Post</a:t>
          </a:r>
          <a:r>
            <a:rPr lang="en-US" sz="2800" b="1" baseline="0">
              <a:solidFill>
                <a:srgbClr val="215733"/>
              </a:solidFill>
              <a:latin typeface="Arial Rounded MT Bold" panose="020F0704030504030204" pitchFamily="34" charset="0"/>
            </a:rPr>
            <a:t> Analysis</a:t>
          </a:r>
          <a:endParaRPr lang="en-US" sz="2800" b="1">
            <a:solidFill>
              <a:srgbClr val="215733"/>
            </a:solidFill>
            <a:latin typeface="Arial Rounded MT Bold" panose="020F0704030504030204" pitchFamily="34" charset="0"/>
          </a:endParaRPr>
        </a:p>
      </xdr:txBody>
    </xdr:sp>
    <xdr:clientData/>
  </xdr:twoCellAnchor>
  <xdr:twoCellAnchor>
    <xdr:from>
      <xdr:col>6</xdr:col>
      <xdr:colOff>257572</xdr:colOff>
      <xdr:row>13</xdr:row>
      <xdr:rowOff>154779</xdr:rowOff>
    </xdr:from>
    <xdr:to>
      <xdr:col>23</xdr:col>
      <xdr:colOff>214312</xdr:colOff>
      <xdr:row>37</xdr:row>
      <xdr:rowOff>166687</xdr:rowOff>
    </xdr:to>
    <xdr:graphicFrame macro="">
      <xdr:nvGraphicFramePr>
        <xdr:cNvPr id="44" name="Chart 43">
          <a:extLst>
            <a:ext uri="{FF2B5EF4-FFF2-40B4-BE49-F238E27FC236}">
              <a16:creationId xmlns:a16="http://schemas.microsoft.com/office/drawing/2014/main" id="{57C2A72C-55AE-4A79-B831-A8F6968C4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333375</xdr:colOff>
      <xdr:row>13</xdr:row>
      <xdr:rowOff>95250</xdr:rowOff>
    </xdr:from>
    <xdr:to>
      <xdr:col>36</xdr:col>
      <xdr:colOff>500063</xdr:colOff>
      <xdr:row>37</xdr:row>
      <xdr:rowOff>142875</xdr:rowOff>
    </xdr:to>
    <xdr:graphicFrame macro="">
      <xdr:nvGraphicFramePr>
        <xdr:cNvPr id="47" name="Chart 46">
          <a:extLst>
            <a:ext uri="{FF2B5EF4-FFF2-40B4-BE49-F238E27FC236}">
              <a16:creationId xmlns:a16="http://schemas.microsoft.com/office/drawing/2014/main" id="{36DB0FE3-B3CE-4309-A052-90ADD8FEC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23812</xdr:colOff>
      <xdr:row>13</xdr:row>
      <xdr:rowOff>119062</xdr:rowOff>
    </xdr:from>
    <xdr:to>
      <xdr:col>50</xdr:col>
      <xdr:colOff>309561</xdr:colOff>
      <xdr:row>37</xdr:row>
      <xdr:rowOff>142875</xdr:rowOff>
    </xdr:to>
    <xdr:graphicFrame macro="">
      <xdr:nvGraphicFramePr>
        <xdr:cNvPr id="48" name="Chart 47">
          <a:extLst>
            <a:ext uri="{FF2B5EF4-FFF2-40B4-BE49-F238E27FC236}">
              <a16:creationId xmlns:a16="http://schemas.microsoft.com/office/drawing/2014/main" id="{DA4846CC-D899-4753-B502-EF48E8167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xdr:colOff>
      <xdr:row>38</xdr:row>
      <xdr:rowOff>47626</xdr:rowOff>
    </xdr:from>
    <xdr:to>
      <xdr:col>30</xdr:col>
      <xdr:colOff>71436</xdr:colOff>
      <xdr:row>66</xdr:row>
      <xdr:rowOff>47626</xdr:rowOff>
    </xdr:to>
    <xdr:graphicFrame macro="">
      <xdr:nvGraphicFramePr>
        <xdr:cNvPr id="49" name="Chart 48">
          <a:extLst>
            <a:ext uri="{FF2B5EF4-FFF2-40B4-BE49-F238E27FC236}">
              <a16:creationId xmlns:a16="http://schemas.microsoft.com/office/drawing/2014/main" id="{5FB325DF-8AF1-4FC9-98C4-273B91D04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142874</xdr:colOff>
      <xdr:row>5</xdr:row>
      <xdr:rowOff>47625</xdr:rowOff>
    </xdr:from>
    <xdr:to>
      <xdr:col>4</xdr:col>
      <xdr:colOff>238124</xdr:colOff>
      <xdr:row>9</xdr:row>
      <xdr:rowOff>142875</xdr:rowOff>
    </xdr:to>
    <xdr:pic>
      <xdr:nvPicPr>
        <xdr:cNvPr id="51" name="Graphic 50" descr="Laptop with solid fill">
          <a:extLst>
            <a:ext uri="{FF2B5EF4-FFF2-40B4-BE49-F238E27FC236}">
              <a16:creationId xmlns:a16="http://schemas.microsoft.com/office/drawing/2014/main" id="{1151424B-C30C-F66B-E0B3-4C21BCAF2EA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81124" y="1000125"/>
          <a:ext cx="1333500" cy="857250"/>
        </a:xfrm>
        <a:prstGeom prst="rect">
          <a:avLst/>
        </a:prstGeom>
      </xdr:spPr>
    </xdr:pic>
    <xdr:clientData/>
  </xdr:twoCellAnchor>
  <xdr:twoCellAnchor>
    <xdr:from>
      <xdr:col>30</xdr:col>
      <xdr:colOff>190498</xdr:colOff>
      <xdr:row>38</xdr:row>
      <xdr:rowOff>47626</xdr:rowOff>
    </xdr:from>
    <xdr:to>
      <xdr:col>40</xdr:col>
      <xdr:colOff>261937</xdr:colOff>
      <xdr:row>66</xdr:row>
      <xdr:rowOff>142876</xdr:rowOff>
    </xdr:to>
    <xdr:graphicFrame macro="">
      <xdr:nvGraphicFramePr>
        <xdr:cNvPr id="5" name="Chart 4">
          <a:extLst>
            <a:ext uri="{FF2B5EF4-FFF2-40B4-BE49-F238E27FC236}">
              <a16:creationId xmlns:a16="http://schemas.microsoft.com/office/drawing/2014/main" id="{5D3B6226-D45D-4FFD-AD72-8AC8714EC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40</xdr:col>
      <xdr:colOff>381000</xdr:colOff>
      <xdr:row>38</xdr:row>
      <xdr:rowOff>71437</xdr:rowOff>
    </xdr:from>
    <xdr:to>
      <xdr:col>50</xdr:col>
      <xdr:colOff>261937</xdr:colOff>
      <xdr:row>66</xdr:row>
      <xdr:rowOff>142875</xdr:rowOff>
    </xdr:to>
    <xdr:sp macro="" textlink="">
      <xdr:nvSpPr>
        <xdr:cNvPr id="7" name="Rectangle: Rounded Corners 6">
          <a:extLst>
            <a:ext uri="{FF2B5EF4-FFF2-40B4-BE49-F238E27FC236}">
              <a16:creationId xmlns:a16="http://schemas.microsoft.com/office/drawing/2014/main" id="{194F764A-56BB-6397-189C-AB850E37CF19}"/>
            </a:ext>
          </a:extLst>
        </xdr:cNvPr>
        <xdr:cNvSpPr/>
      </xdr:nvSpPr>
      <xdr:spPr>
        <a:xfrm>
          <a:off x="25146000" y="7310437"/>
          <a:ext cx="6072187" cy="5405438"/>
        </a:xfrm>
        <a:prstGeom prst="roundRect">
          <a:avLst>
            <a:gd name="adj" fmla="val 28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261937</xdr:colOff>
      <xdr:row>4</xdr:row>
      <xdr:rowOff>142874</xdr:rowOff>
    </xdr:from>
    <xdr:to>
      <xdr:col>13</xdr:col>
      <xdr:colOff>547687</xdr:colOff>
      <xdr:row>13</xdr:row>
      <xdr:rowOff>-1</xdr:rowOff>
    </xdr:to>
    <xdr:sp macro="" textlink="">
      <xdr:nvSpPr>
        <xdr:cNvPr id="18" name="Rectangle: Rounded Corners 17">
          <a:extLst>
            <a:ext uri="{FF2B5EF4-FFF2-40B4-BE49-F238E27FC236}">
              <a16:creationId xmlns:a16="http://schemas.microsoft.com/office/drawing/2014/main" id="{5D11DE94-AAB2-3BDF-074D-03200A23A29B}"/>
            </a:ext>
          </a:extLst>
        </xdr:cNvPr>
        <xdr:cNvSpPr/>
      </xdr:nvSpPr>
      <xdr:spPr>
        <a:xfrm>
          <a:off x="3976687" y="904874"/>
          <a:ext cx="4619625" cy="1571625"/>
        </a:xfrm>
        <a:prstGeom prst="roundRect">
          <a:avLst>
            <a:gd name="adj" fmla="val 13542"/>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90487</xdr:rowOff>
    </xdr:from>
    <xdr:to>
      <xdr:col>0</xdr:col>
      <xdr:colOff>0</xdr:colOff>
      <xdr:row>6</xdr:row>
      <xdr:rowOff>11905</xdr:rowOff>
    </xdr:to>
    <xdr:sp macro="" textlink="">
      <xdr:nvSpPr>
        <xdr:cNvPr id="19" name="Rectangle: Rounded Corners 18">
          <a:extLst>
            <a:ext uri="{FF2B5EF4-FFF2-40B4-BE49-F238E27FC236}">
              <a16:creationId xmlns:a16="http://schemas.microsoft.com/office/drawing/2014/main" id="{D1F6B230-ECB8-2458-EFF9-38EA0D231D58}"/>
            </a:ext>
          </a:extLst>
        </xdr:cNvPr>
        <xdr:cNvSpPr/>
      </xdr:nvSpPr>
      <xdr:spPr>
        <a:xfrm>
          <a:off x="0" y="471487"/>
          <a:ext cx="0" cy="683418"/>
        </a:xfrm>
        <a:prstGeom prst="roundRect">
          <a:avLst>
            <a:gd name="adj" fmla="val 135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500063</xdr:colOff>
      <xdr:row>4</xdr:row>
      <xdr:rowOff>119062</xdr:rowOff>
    </xdr:from>
    <xdr:to>
      <xdr:col>43</xdr:col>
      <xdr:colOff>47626</xdr:colOff>
      <xdr:row>13</xdr:row>
      <xdr:rowOff>0</xdr:rowOff>
    </xdr:to>
    <xdr:sp macro="" textlink="">
      <xdr:nvSpPr>
        <xdr:cNvPr id="20" name="Rectangle: Rounded Corners 19">
          <a:extLst>
            <a:ext uri="{FF2B5EF4-FFF2-40B4-BE49-F238E27FC236}">
              <a16:creationId xmlns:a16="http://schemas.microsoft.com/office/drawing/2014/main" id="{09E94B5A-2E72-513F-8F06-EF7D0F81A9F6}"/>
            </a:ext>
          </a:extLst>
        </xdr:cNvPr>
        <xdr:cNvSpPr/>
      </xdr:nvSpPr>
      <xdr:spPr>
        <a:xfrm>
          <a:off x="22788563" y="881062"/>
          <a:ext cx="3881438" cy="1595438"/>
        </a:xfrm>
        <a:prstGeom prst="roundRect">
          <a:avLst>
            <a:gd name="adj" fmla="val 13542"/>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285750</xdr:colOff>
      <xdr:row>4</xdr:row>
      <xdr:rowOff>142875</xdr:rowOff>
    </xdr:from>
    <xdr:to>
      <xdr:col>28</xdr:col>
      <xdr:colOff>523873</xdr:colOff>
      <xdr:row>13</xdr:row>
      <xdr:rowOff>0</xdr:rowOff>
    </xdr:to>
    <xdr:sp macro="" textlink="">
      <xdr:nvSpPr>
        <xdr:cNvPr id="21" name="Rectangle: Rounded Corners 20">
          <a:extLst>
            <a:ext uri="{FF2B5EF4-FFF2-40B4-BE49-F238E27FC236}">
              <a16:creationId xmlns:a16="http://schemas.microsoft.com/office/drawing/2014/main" id="{C4E02304-208C-21BC-C732-29B4ED644D92}"/>
            </a:ext>
          </a:extLst>
        </xdr:cNvPr>
        <xdr:cNvSpPr/>
      </xdr:nvSpPr>
      <xdr:spPr>
        <a:xfrm>
          <a:off x="13287375" y="904875"/>
          <a:ext cx="4571998" cy="1571625"/>
        </a:xfrm>
        <a:prstGeom prst="roundRect">
          <a:avLst>
            <a:gd name="adj" fmla="val 13542"/>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571500</xdr:colOff>
      <xdr:row>4</xdr:row>
      <xdr:rowOff>119062</xdr:rowOff>
    </xdr:from>
    <xdr:to>
      <xdr:col>36</xdr:col>
      <xdr:colOff>452438</xdr:colOff>
      <xdr:row>13</xdr:row>
      <xdr:rowOff>0</xdr:rowOff>
    </xdr:to>
    <xdr:sp macro="" textlink="">
      <xdr:nvSpPr>
        <xdr:cNvPr id="22" name="Rectangle: Rounded Corners 21">
          <a:extLst>
            <a:ext uri="{FF2B5EF4-FFF2-40B4-BE49-F238E27FC236}">
              <a16:creationId xmlns:a16="http://schemas.microsoft.com/office/drawing/2014/main" id="{CFC4A1BA-D3CD-176C-9A23-7D57E6D9B68A}"/>
            </a:ext>
          </a:extLst>
        </xdr:cNvPr>
        <xdr:cNvSpPr/>
      </xdr:nvSpPr>
      <xdr:spPr>
        <a:xfrm>
          <a:off x="17907000" y="881062"/>
          <a:ext cx="4833938" cy="1595438"/>
        </a:xfrm>
        <a:prstGeom prst="roundRect">
          <a:avLst>
            <a:gd name="adj" fmla="val 13542"/>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166687</xdr:colOff>
      <xdr:row>4</xdr:row>
      <xdr:rowOff>71437</xdr:rowOff>
    </xdr:from>
    <xdr:to>
      <xdr:col>50</xdr:col>
      <xdr:colOff>309561</xdr:colOff>
      <xdr:row>13</xdr:row>
      <xdr:rowOff>47625</xdr:rowOff>
    </xdr:to>
    <xdr:sp macro="" textlink="">
      <xdr:nvSpPr>
        <xdr:cNvPr id="32" name="Rectangle: Rounded Corners 31">
          <a:extLst>
            <a:ext uri="{FF2B5EF4-FFF2-40B4-BE49-F238E27FC236}">
              <a16:creationId xmlns:a16="http://schemas.microsoft.com/office/drawing/2014/main" id="{CADF6BF7-9BC8-AFF4-1875-1C50B6D2B67F}"/>
            </a:ext>
          </a:extLst>
        </xdr:cNvPr>
        <xdr:cNvSpPr/>
      </xdr:nvSpPr>
      <xdr:spPr>
        <a:xfrm>
          <a:off x="26789062" y="833437"/>
          <a:ext cx="4476749" cy="1690688"/>
        </a:xfrm>
        <a:prstGeom prst="roundRect">
          <a:avLst>
            <a:gd name="adj" fmla="val 135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238126</xdr:colOff>
      <xdr:row>38</xdr:row>
      <xdr:rowOff>47626</xdr:rowOff>
    </xdr:from>
    <xdr:to>
      <xdr:col>17</xdr:col>
      <xdr:colOff>500063</xdr:colOff>
      <xdr:row>66</xdr:row>
      <xdr:rowOff>71438</xdr:rowOff>
    </xdr:to>
    <xdr:sp macro="" textlink="">
      <xdr:nvSpPr>
        <xdr:cNvPr id="38" name="Rectangle: Rounded Corners 37">
          <a:extLst>
            <a:ext uri="{FF2B5EF4-FFF2-40B4-BE49-F238E27FC236}">
              <a16:creationId xmlns:a16="http://schemas.microsoft.com/office/drawing/2014/main" id="{C82448FD-B6D0-2BAB-59BF-EEE638734B13}"/>
            </a:ext>
          </a:extLst>
        </xdr:cNvPr>
        <xdr:cNvSpPr/>
      </xdr:nvSpPr>
      <xdr:spPr>
        <a:xfrm>
          <a:off x="3952876" y="7286626"/>
          <a:ext cx="7072312" cy="5357812"/>
        </a:xfrm>
        <a:prstGeom prst="roundRect">
          <a:avLst>
            <a:gd name="adj" fmla="val 41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571501</xdr:colOff>
      <xdr:row>41</xdr:row>
      <xdr:rowOff>166687</xdr:rowOff>
    </xdr:from>
    <xdr:to>
      <xdr:col>49</xdr:col>
      <xdr:colOff>500062</xdr:colOff>
      <xdr:row>65</xdr:row>
      <xdr:rowOff>95250</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EAD1AF04-18FF-48A4-B484-3607CAEDD0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4955501" y="7977187"/>
              <a:ext cx="5414961" cy="45005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40</xdr:col>
      <xdr:colOff>537789</xdr:colOff>
      <xdr:row>38</xdr:row>
      <xdr:rowOff>151761</xdr:rowOff>
    </xdr:from>
    <xdr:to>
      <xdr:col>49</xdr:col>
      <xdr:colOff>333375</xdr:colOff>
      <xdr:row>41</xdr:row>
      <xdr:rowOff>190498</xdr:rowOff>
    </xdr:to>
    <xdr:sp macro="" textlink="">
      <xdr:nvSpPr>
        <xdr:cNvPr id="46" name="TextBox 45">
          <a:extLst>
            <a:ext uri="{FF2B5EF4-FFF2-40B4-BE49-F238E27FC236}">
              <a16:creationId xmlns:a16="http://schemas.microsoft.com/office/drawing/2014/main" id="{074C3FF3-3293-4645-A470-E5B095213428}"/>
            </a:ext>
          </a:extLst>
        </xdr:cNvPr>
        <xdr:cNvSpPr txBox="1"/>
      </xdr:nvSpPr>
      <xdr:spPr>
        <a:xfrm>
          <a:off x="25302789" y="7390761"/>
          <a:ext cx="5367711" cy="610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35733"/>
              </a:solidFill>
              <a:latin typeface="Arial Rounded MT Bold" panose="020F0704030504030204" pitchFamily="34" charset="0"/>
            </a:rPr>
            <a:t>Top</a:t>
          </a:r>
          <a:r>
            <a:rPr lang="en-US" sz="3600" b="1" baseline="0">
              <a:solidFill>
                <a:srgbClr val="235733"/>
              </a:solidFill>
              <a:latin typeface="Arial Rounded MT Bold" panose="020F0704030504030204" pitchFamily="34" charset="0"/>
            </a:rPr>
            <a:t> 6 Ship Cities </a:t>
          </a:r>
          <a:r>
            <a:rPr lang="en-US" sz="1800" b="1" i="1" baseline="0">
              <a:solidFill>
                <a:srgbClr val="235733"/>
              </a:solidFill>
              <a:latin typeface="Arial Rounded MT Bold" panose="020F0704030504030204" pitchFamily="34" charset="0"/>
            </a:rPr>
            <a:t>by Revenue</a:t>
          </a:r>
          <a:endParaRPr lang="en-US" sz="1800" b="1" i="1">
            <a:solidFill>
              <a:srgbClr val="235733"/>
            </a:solidFill>
            <a:latin typeface="Arial Rounded MT Bold" panose="020F0704030504030204" pitchFamily="34" charset="0"/>
          </a:endParaRPr>
        </a:p>
      </xdr:txBody>
    </xdr:sp>
    <xdr:clientData/>
  </xdr:twoCellAnchor>
  <xdr:twoCellAnchor>
    <xdr:from>
      <xdr:col>6</xdr:col>
      <xdr:colOff>370099</xdr:colOff>
      <xdr:row>41</xdr:row>
      <xdr:rowOff>119062</xdr:rowOff>
    </xdr:from>
    <xdr:to>
      <xdr:col>17</xdr:col>
      <xdr:colOff>214312</xdr:colOff>
      <xdr:row>63</xdr:row>
      <xdr:rowOff>142876</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E2A738B2-2945-4F76-BE1B-1CB284E716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4027699" y="7929562"/>
              <a:ext cx="6549813" cy="42148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336056</xdr:colOff>
      <xdr:row>38</xdr:row>
      <xdr:rowOff>72475</xdr:rowOff>
    </xdr:from>
    <xdr:to>
      <xdr:col>16</xdr:col>
      <xdr:colOff>428624</xdr:colOff>
      <xdr:row>42</xdr:row>
      <xdr:rowOff>23813</xdr:rowOff>
    </xdr:to>
    <xdr:sp macro="" textlink="">
      <xdr:nvSpPr>
        <xdr:cNvPr id="53" name="TextBox 52">
          <a:extLst>
            <a:ext uri="{FF2B5EF4-FFF2-40B4-BE49-F238E27FC236}">
              <a16:creationId xmlns:a16="http://schemas.microsoft.com/office/drawing/2014/main" id="{81F49F36-D15C-494C-B687-1EFA55600984}"/>
            </a:ext>
          </a:extLst>
        </xdr:cNvPr>
        <xdr:cNvSpPr txBox="1"/>
      </xdr:nvSpPr>
      <xdr:spPr>
        <a:xfrm>
          <a:off x="4050806" y="7311475"/>
          <a:ext cx="6283818" cy="713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35733"/>
              </a:solidFill>
              <a:latin typeface="Arial Rounded MT Bold" panose="020F0704030504030204" pitchFamily="34" charset="0"/>
            </a:rPr>
            <a:t>State's</a:t>
          </a:r>
          <a:r>
            <a:rPr lang="en-US" sz="3600" b="1" baseline="0">
              <a:solidFill>
                <a:srgbClr val="235733"/>
              </a:solidFill>
              <a:latin typeface="Arial Rounded MT Bold" panose="020F0704030504030204" pitchFamily="34" charset="0"/>
            </a:rPr>
            <a:t> Performance </a:t>
          </a:r>
          <a:r>
            <a:rPr lang="en-US" sz="1800" b="1" i="1" baseline="0">
              <a:solidFill>
                <a:srgbClr val="235733"/>
              </a:solidFill>
              <a:latin typeface="Arial Rounded MT Bold" panose="020F0704030504030204" pitchFamily="34" charset="0"/>
            </a:rPr>
            <a:t>by Revenue</a:t>
          </a:r>
          <a:endParaRPr lang="en-US" sz="1800" b="1" i="1">
            <a:solidFill>
              <a:srgbClr val="235733"/>
            </a:solidFill>
            <a:latin typeface="Arial Rounded MT Bold" panose="020F0704030504030204" pitchFamily="34" charset="0"/>
          </a:endParaRPr>
        </a:p>
      </xdr:txBody>
    </xdr:sp>
    <xdr:clientData/>
  </xdr:twoCellAnchor>
  <xdr:twoCellAnchor>
    <xdr:from>
      <xdr:col>16</xdr:col>
      <xdr:colOff>417424</xdr:colOff>
      <xdr:row>4</xdr:row>
      <xdr:rowOff>150253</xdr:rowOff>
    </xdr:from>
    <xdr:to>
      <xdr:col>18</xdr:col>
      <xdr:colOff>556368</xdr:colOff>
      <xdr:row>6</xdr:row>
      <xdr:rowOff>135665</xdr:rowOff>
    </xdr:to>
    <xdr:graphicFrame macro="">
      <xdr:nvGraphicFramePr>
        <xdr:cNvPr id="60" name="Chart 59">
          <a:extLst>
            <a:ext uri="{FF2B5EF4-FFF2-40B4-BE49-F238E27FC236}">
              <a16:creationId xmlns:a16="http://schemas.microsoft.com/office/drawing/2014/main" id="{3D8B17EE-9125-4F7F-8CDF-99ADEBD0D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552717</xdr:colOff>
      <xdr:row>6</xdr:row>
      <xdr:rowOff>47626</xdr:rowOff>
    </xdr:from>
    <xdr:to>
      <xdr:col>13</xdr:col>
      <xdr:colOff>333375</xdr:colOff>
      <xdr:row>9</xdr:row>
      <xdr:rowOff>95250</xdr:rowOff>
    </xdr:to>
    <xdr:sp macro="" textlink="">
      <xdr:nvSpPr>
        <xdr:cNvPr id="6" name="TextBox 5">
          <a:extLst>
            <a:ext uri="{FF2B5EF4-FFF2-40B4-BE49-F238E27FC236}">
              <a16:creationId xmlns:a16="http://schemas.microsoft.com/office/drawing/2014/main" id="{EC55F34A-15D4-D15A-5789-052964D23F7A}"/>
            </a:ext>
          </a:extLst>
        </xdr:cNvPr>
        <xdr:cNvSpPr txBox="1"/>
      </xdr:nvSpPr>
      <xdr:spPr>
        <a:xfrm>
          <a:off x="4267467" y="1190626"/>
          <a:ext cx="4114533"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Best</a:t>
          </a:r>
          <a:r>
            <a:rPr lang="en-US" sz="3600" b="1" baseline="0">
              <a:solidFill>
                <a:schemeClr val="bg1"/>
              </a:solidFill>
              <a:latin typeface="Arial Rounded MT Bold" panose="020F0704030504030204" pitchFamily="34" charset="0"/>
            </a:rPr>
            <a:t> Transaction</a:t>
          </a:r>
          <a:endParaRPr lang="en-US" sz="3600" b="1">
            <a:solidFill>
              <a:schemeClr val="bg1"/>
            </a:solidFill>
            <a:latin typeface="Arial Rounded MT Bold" panose="020F0704030504030204" pitchFamily="34" charset="0"/>
          </a:endParaRPr>
        </a:p>
      </xdr:txBody>
    </xdr:sp>
    <xdr:clientData/>
  </xdr:twoCellAnchor>
  <xdr:twoCellAnchor>
    <xdr:from>
      <xdr:col>8</xdr:col>
      <xdr:colOff>297956</xdr:colOff>
      <xdr:row>9</xdr:row>
      <xdr:rowOff>23576</xdr:rowOff>
    </xdr:from>
    <xdr:to>
      <xdr:col>12</xdr:col>
      <xdr:colOff>261937</xdr:colOff>
      <xdr:row>12</xdr:row>
      <xdr:rowOff>0</xdr:rowOff>
    </xdr:to>
    <xdr:sp macro="" textlink="">
      <xdr:nvSpPr>
        <xdr:cNvPr id="8" name="TextBox 7">
          <a:extLst>
            <a:ext uri="{FF2B5EF4-FFF2-40B4-BE49-F238E27FC236}">
              <a16:creationId xmlns:a16="http://schemas.microsoft.com/office/drawing/2014/main" id="{41092EF6-668F-1E97-B260-32F75927241D}"/>
            </a:ext>
          </a:extLst>
        </xdr:cNvPr>
        <xdr:cNvSpPr txBox="1"/>
      </xdr:nvSpPr>
      <xdr:spPr>
        <a:xfrm>
          <a:off x="5250956" y="1738076"/>
          <a:ext cx="2440481" cy="547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0</a:t>
          </a:r>
          <a:r>
            <a:rPr lang="en-US" sz="3600" b="1" baseline="0">
              <a:solidFill>
                <a:schemeClr val="bg1"/>
              </a:solidFill>
              <a:latin typeface="Arial Rounded MT Bold" panose="020F0704030504030204" pitchFamily="34" charset="0"/>
            </a:rPr>
            <a:t> - 1000</a:t>
          </a:r>
          <a:endParaRPr lang="en-US" sz="3600" b="1">
            <a:solidFill>
              <a:schemeClr val="bg1"/>
            </a:solidFill>
            <a:latin typeface="Arial Rounded MT Bold" panose="020F0704030504030204" pitchFamily="34" charset="0"/>
          </a:endParaRPr>
        </a:p>
      </xdr:txBody>
    </xdr:sp>
    <xdr:clientData/>
  </xdr:twoCellAnchor>
  <xdr:twoCellAnchor>
    <xdr:from>
      <xdr:col>36</xdr:col>
      <xdr:colOff>500063</xdr:colOff>
      <xdr:row>5</xdr:row>
      <xdr:rowOff>95250</xdr:rowOff>
    </xdr:from>
    <xdr:to>
      <xdr:col>43</xdr:col>
      <xdr:colOff>357187</xdr:colOff>
      <xdr:row>8</xdr:row>
      <xdr:rowOff>142875</xdr:rowOff>
    </xdr:to>
    <xdr:sp macro="" textlink="">
      <xdr:nvSpPr>
        <xdr:cNvPr id="9" name="TextBox 8">
          <a:extLst>
            <a:ext uri="{FF2B5EF4-FFF2-40B4-BE49-F238E27FC236}">
              <a16:creationId xmlns:a16="http://schemas.microsoft.com/office/drawing/2014/main" id="{78F6C8D6-E57B-53E1-21A5-79A5AB26D689}"/>
            </a:ext>
          </a:extLst>
        </xdr:cNvPr>
        <xdr:cNvSpPr txBox="1"/>
      </xdr:nvSpPr>
      <xdr:spPr>
        <a:xfrm>
          <a:off x="22788563" y="1047750"/>
          <a:ext cx="4190999"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Sum</a:t>
          </a:r>
          <a:r>
            <a:rPr lang="en-US" sz="3600" b="1" baseline="0">
              <a:solidFill>
                <a:schemeClr val="bg1"/>
              </a:solidFill>
              <a:latin typeface="Arial Rounded MT Bold" panose="020F0704030504030204" pitchFamily="34" charset="0"/>
            </a:rPr>
            <a:t> Of Revenue</a:t>
          </a:r>
          <a:endParaRPr lang="en-US" sz="3600" b="1">
            <a:solidFill>
              <a:schemeClr val="bg1"/>
            </a:solidFill>
            <a:latin typeface="Arial Rounded MT Bold" panose="020F0704030504030204" pitchFamily="34" charset="0"/>
          </a:endParaRPr>
        </a:p>
      </xdr:txBody>
    </xdr:sp>
    <xdr:clientData/>
  </xdr:twoCellAnchor>
  <xdr:twoCellAnchor>
    <xdr:from>
      <xdr:col>21</xdr:col>
      <xdr:colOff>476249</xdr:colOff>
      <xdr:row>6</xdr:row>
      <xdr:rowOff>0</xdr:rowOff>
    </xdr:from>
    <xdr:to>
      <xdr:col>28</xdr:col>
      <xdr:colOff>261936</xdr:colOff>
      <xdr:row>9</xdr:row>
      <xdr:rowOff>0</xdr:rowOff>
    </xdr:to>
    <xdr:sp macro="" textlink="">
      <xdr:nvSpPr>
        <xdr:cNvPr id="10" name="TextBox 9">
          <a:extLst>
            <a:ext uri="{FF2B5EF4-FFF2-40B4-BE49-F238E27FC236}">
              <a16:creationId xmlns:a16="http://schemas.microsoft.com/office/drawing/2014/main" id="{278C0DEC-3F8A-374A-00EF-C1EB4D6AFFBE}"/>
            </a:ext>
          </a:extLst>
        </xdr:cNvPr>
        <xdr:cNvSpPr txBox="1"/>
      </xdr:nvSpPr>
      <xdr:spPr>
        <a:xfrm>
          <a:off x="13477874" y="1143000"/>
          <a:ext cx="4119562"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Top</a:t>
          </a:r>
          <a:r>
            <a:rPr lang="en-US" sz="3600" b="1" baseline="0">
              <a:solidFill>
                <a:schemeClr val="bg1"/>
              </a:solidFill>
              <a:latin typeface="Arial Rounded MT Bold" panose="020F0704030504030204" pitchFamily="34" charset="0"/>
            </a:rPr>
            <a:t> salesperson</a:t>
          </a:r>
          <a:endParaRPr lang="en-US" sz="3600" b="1">
            <a:solidFill>
              <a:schemeClr val="bg1"/>
            </a:solidFill>
            <a:latin typeface="Arial Rounded MT Bold" panose="020F0704030504030204" pitchFamily="34" charset="0"/>
          </a:endParaRPr>
        </a:p>
      </xdr:txBody>
    </xdr:sp>
    <xdr:clientData/>
  </xdr:twoCellAnchor>
  <xdr:twoCellAnchor>
    <xdr:from>
      <xdr:col>23</xdr:col>
      <xdr:colOff>500063</xdr:colOff>
      <xdr:row>8</xdr:row>
      <xdr:rowOff>119064</xdr:rowOff>
    </xdr:from>
    <xdr:to>
      <xdr:col>27</xdr:col>
      <xdr:colOff>476249</xdr:colOff>
      <xdr:row>12</xdr:row>
      <xdr:rowOff>47626</xdr:rowOff>
    </xdr:to>
    <xdr:sp macro="" textlink="">
      <xdr:nvSpPr>
        <xdr:cNvPr id="11" name="TextBox 10">
          <a:extLst>
            <a:ext uri="{FF2B5EF4-FFF2-40B4-BE49-F238E27FC236}">
              <a16:creationId xmlns:a16="http://schemas.microsoft.com/office/drawing/2014/main" id="{5B2ECE18-6810-4D68-053C-63853DED5BC6}"/>
            </a:ext>
          </a:extLst>
        </xdr:cNvPr>
        <xdr:cNvSpPr txBox="1"/>
      </xdr:nvSpPr>
      <xdr:spPr>
        <a:xfrm>
          <a:off x="14739938" y="1643064"/>
          <a:ext cx="2452686" cy="690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Nancy</a:t>
          </a:r>
        </a:p>
      </xdr:txBody>
    </xdr:sp>
    <xdr:clientData/>
  </xdr:twoCellAnchor>
  <xdr:twoCellAnchor>
    <xdr:from>
      <xdr:col>37</xdr:col>
      <xdr:colOff>381001</xdr:colOff>
      <xdr:row>8</xdr:row>
      <xdr:rowOff>119062</xdr:rowOff>
    </xdr:from>
    <xdr:to>
      <xdr:col>42</xdr:col>
      <xdr:colOff>214313</xdr:colOff>
      <xdr:row>12</xdr:row>
      <xdr:rowOff>0</xdr:rowOff>
    </xdr:to>
    <xdr:sp macro="" textlink="">
      <xdr:nvSpPr>
        <xdr:cNvPr id="13" name="TextBox 12">
          <a:extLst>
            <a:ext uri="{FF2B5EF4-FFF2-40B4-BE49-F238E27FC236}">
              <a16:creationId xmlns:a16="http://schemas.microsoft.com/office/drawing/2014/main" id="{ED2C3B15-73A4-5EB0-9A01-81DC0E091AE1}"/>
            </a:ext>
          </a:extLst>
        </xdr:cNvPr>
        <xdr:cNvSpPr txBox="1"/>
      </xdr:nvSpPr>
      <xdr:spPr>
        <a:xfrm>
          <a:off x="23288626" y="1643062"/>
          <a:ext cx="2928937" cy="642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$435,066.16</a:t>
          </a:r>
        </a:p>
      </xdr:txBody>
    </xdr:sp>
    <xdr:clientData/>
  </xdr:twoCellAnchor>
  <xdr:twoCellAnchor>
    <xdr:from>
      <xdr:col>28</xdr:col>
      <xdr:colOff>571501</xdr:colOff>
      <xdr:row>6</xdr:row>
      <xdr:rowOff>0</xdr:rowOff>
    </xdr:from>
    <xdr:to>
      <xdr:col>36</xdr:col>
      <xdr:colOff>452437</xdr:colOff>
      <xdr:row>10</xdr:row>
      <xdr:rowOff>23812</xdr:rowOff>
    </xdr:to>
    <xdr:sp macro="" textlink="">
      <xdr:nvSpPr>
        <xdr:cNvPr id="14" name="TextBox 13">
          <a:extLst>
            <a:ext uri="{FF2B5EF4-FFF2-40B4-BE49-F238E27FC236}">
              <a16:creationId xmlns:a16="http://schemas.microsoft.com/office/drawing/2014/main" id="{EA0F645E-B4F3-8524-E521-06A0753C4286}"/>
            </a:ext>
          </a:extLst>
        </xdr:cNvPr>
        <xdr:cNvSpPr txBox="1"/>
      </xdr:nvSpPr>
      <xdr:spPr>
        <a:xfrm>
          <a:off x="17907001" y="1143000"/>
          <a:ext cx="4833936" cy="78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Peak</a:t>
          </a:r>
          <a:r>
            <a:rPr lang="en-US" sz="3600" b="1" baseline="0">
              <a:solidFill>
                <a:schemeClr val="bg1"/>
              </a:solidFill>
              <a:latin typeface="Arial Rounded MT Bold" panose="020F0704030504030204" pitchFamily="34" charset="0"/>
            </a:rPr>
            <a:t> month for 2014</a:t>
          </a:r>
          <a:endParaRPr lang="en-US" sz="3600" b="1">
            <a:solidFill>
              <a:schemeClr val="bg1"/>
            </a:solidFill>
            <a:latin typeface="Arial Rounded MT Bold" panose="020F0704030504030204" pitchFamily="34" charset="0"/>
          </a:endParaRPr>
        </a:p>
      </xdr:txBody>
    </xdr:sp>
    <xdr:clientData/>
  </xdr:twoCellAnchor>
  <xdr:twoCellAnchor>
    <xdr:from>
      <xdr:col>30</xdr:col>
      <xdr:colOff>294734</xdr:colOff>
      <xdr:row>9</xdr:row>
      <xdr:rowOff>40244</xdr:rowOff>
    </xdr:from>
    <xdr:to>
      <xdr:col>34</xdr:col>
      <xdr:colOff>595311</xdr:colOff>
      <xdr:row>12</xdr:row>
      <xdr:rowOff>47625</xdr:rowOff>
    </xdr:to>
    <xdr:sp macro="" textlink="">
      <xdr:nvSpPr>
        <xdr:cNvPr id="15" name="TextBox 14">
          <a:extLst>
            <a:ext uri="{FF2B5EF4-FFF2-40B4-BE49-F238E27FC236}">
              <a16:creationId xmlns:a16="http://schemas.microsoft.com/office/drawing/2014/main" id="{168F1C1D-A01C-2C5E-1E87-64E5CDAA844B}"/>
            </a:ext>
          </a:extLst>
        </xdr:cNvPr>
        <xdr:cNvSpPr txBox="1"/>
      </xdr:nvSpPr>
      <xdr:spPr>
        <a:xfrm>
          <a:off x="18868484" y="1754744"/>
          <a:ext cx="2777077" cy="578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December</a:t>
          </a:r>
        </a:p>
      </xdr:txBody>
    </xdr:sp>
    <xdr:clientData/>
  </xdr:twoCellAnchor>
  <xdr:twoCellAnchor>
    <xdr:from>
      <xdr:col>15</xdr:col>
      <xdr:colOff>428627</xdr:colOff>
      <xdr:row>8</xdr:row>
      <xdr:rowOff>166688</xdr:rowOff>
    </xdr:from>
    <xdr:to>
      <xdr:col>20</xdr:col>
      <xdr:colOff>261938</xdr:colOff>
      <xdr:row>12</xdr:row>
      <xdr:rowOff>47625</xdr:rowOff>
    </xdr:to>
    <xdr:sp macro="" textlink="">
      <xdr:nvSpPr>
        <xdr:cNvPr id="16" name="TextBox 15">
          <a:extLst>
            <a:ext uri="{FF2B5EF4-FFF2-40B4-BE49-F238E27FC236}">
              <a16:creationId xmlns:a16="http://schemas.microsoft.com/office/drawing/2014/main" id="{85140CA8-E3F9-2AAE-3D22-E2E0098A5A83}"/>
            </a:ext>
          </a:extLst>
        </xdr:cNvPr>
        <xdr:cNvSpPr txBox="1"/>
      </xdr:nvSpPr>
      <xdr:spPr>
        <a:xfrm>
          <a:off x="9715502" y="1690688"/>
          <a:ext cx="2928936" cy="64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New</a:t>
          </a:r>
          <a:r>
            <a:rPr lang="en-US" sz="3600" b="1" baseline="0">
              <a:solidFill>
                <a:schemeClr val="bg1"/>
              </a:solidFill>
              <a:latin typeface="Arial Rounded MT Bold" panose="020F0704030504030204" pitchFamily="34" charset="0"/>
            </a:rPr>
            <a:t> York</a:t>
          </a:r>
          <a:endParaRPr lang="en-US" sz="3600" b="1">
            <a:solidFill>
              <a:schemeClr val="bg1"/>
            </a:solidFill>
            <a:latin typeface="Arial Rounded MT Bold" panose="020F0704030504030204" pitchFamily="34" charset="0"/>
          </a:endParaRPr>
        </a:p>
      </xdr:txBody>
    </xdr:sp>
    <xdr:clientData/>
  </xdr:twoCellAnchor>
  <xdr:twoCellAnchor>
    <xdr:from>
      <xdr:col>14</xdr:col>
      <xdr:colOff>500063</xdr:colOff>
      <xdr:row>6</xdr:row>
      <xdr:rowOff>23812</xdr:rowOff>
    </xdr:from>
    <xdr:to>
      <xdr:col>21</xdr:col>
      <xdr:colOff>166688</xdr:colOff>
      <xdr:row>9</xdr:row>
      <xdr:rowOff>142873</xdr:rowOff>
    </xdr:to>
    <xdr:sp macro="" textlink="">
      <xdr:nvSpPr>
        <xdr:cNvPr id="17" name="TextBox 16">
          <a:extLst>
            <a:ext uri="{FF2B5EF4-FFF2-40B4-BE49-F238E27FC236}">
              <a16:creationId xmlns:a16="http://schemas.microsoft.com/office/drawing/2014/main" id="{B81D516E-454C-B519-4AAD-B40532F78E18}"/>
            </a:ext>
          </a:extLst>
        </xdr:cNvPr>
        <xdr:cNvSpPr txBox="1"/>
      </xdr:nvSpPr>
      <xdr:spPr>
        <a:xfrm>
          <a:off x="9167813" y="1166812"/>
          <a:ext cx="4000500" cy="690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Rounded MT Bold" panose="020F0704030504030204" pitchFamily="34" charset="0"/>
            </a:rPr>
            <a:t>Regional</a:t>
          </a:r>
          <a:r>
            <a:rPr lang="en-US" sz="3600" b="1" baseline="0">
              <a:solidFill>
                <a:schemeClr val="bg1"/>
              </a:solidFill>
              <a:latin typeface="Arial Rounded MT Bold" panose="020F0704030504030204" pitchFamily="34" charset="0"/>
            </a:rPr>
            <a:t> Lead</a:t>
          </a:r>
          <a:endParaRPr lang="en-US" sz="3600" b="1">
            <a:solidFill>
              <a:schemeClr val="bg1"/>
            </a:solidFill>
            <a:latin typeface="Arial Rounded MT Bold" panose="020F0704030504030204" pitchFamily="34" charset="0"/>
          </a:endParaRPr>
        </a:p>
      </xdr:txBody>
    </xdr:sp>
    <xdr:clientData/>
  </xdr:twoCellAnchor>
  <xdr:twoCellAnchor>
    <xdr:from>
      <xdr:col>8</xdr:col>
      <xdr:colOff>430269</xdr:colOff>
      <xdr:row>5</xdr:row>
      <xdr:rowOff>57150</xdr:rowOff>
    </xdr:from>
    <xdr:to>
      <xdr:col>10</xdr:col>
      <xdr:colOff>556194</xdr:colOff>
      <xdr:row>7</xdr:row>
      <xdr:rowOff>45245</xdr:rowOff>
    </xdr:to>
    <xdr:graphicFrame macro="">
      <xdr:nvGraphicFramePr>
        <xdr:cNvPr id="45" name="Chart 44">
          <a:extLst>
            <a:ext uri="{FF2B5EF4-FFF2-40B4-BE49-F238E27FC236}">
              <a16:creationId xmlns:a16="http://schemas.microsoft.com/office/drawing/2014/main" id="{474CF9C3-A93B-5AAD-C328-8609587EA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513610</xdr:colOff>
      <xdr:row>4</xdr:row>
      <xdr:rowOff>152399</xdr:rowOff>
    </xdr:from>
    <xdr:to>
      <xdr:col>26</xdr:col>
      <xdr:colOff>20410</xdr:colOff>
      <xdr:row>6</xdr:row>
      <xdr:rowOff>140494</xdr:rowOff>
    </xdr:to>
    <xdr:graphicFrame macro="">
      <xdr:nvGraphicFramePr>
        <xdr:cNvPr id="52" name="Chart 51">
          <a:extLst>
            <a:ext uri="{FF2B5EF4-FFF2-40B4-BE49-F238E27FC236}">
              <a16:creationId xmlns:a16="http://schemas.microsoft.com/office/drawing/2014/main" id="{0DA1A39E-2490-13DC-A7D7-3688E4EAC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31</xdr:col>
      <xdr:colOff>81767</xdr:colOff>
      <xdr:row>4</xdr:row>
      <xdr:rowOff>78580</xdr:rowOff>
    </xdr:from>
    <xdr:to>
      <xdr:col>33</xdr:col>
      <xdr:colOff>211187</xdr:colOff>
      <xdr:row>6</xdr:row>
      <xdr:rowOff>66675</xdr:rowOff>
    </xdr:to>
    <xdr:graphicFrame macro="">
      <xdr:nvGraphicFramePr>
        <xdr:cNvPr id="54" name="Chart 53">
          <a:extLst>
            <a:ext uri="{FF2B5EF4-FFF2-40B4-BE49-F238E27FC236}">
              <a16:creationId xmlns:a16="http://schemas.microsoft.com/office/drawing/2014/main" id="{2CE46F74-EC39-3EDC-075F-D655D85CE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38</xdr:col>
      <xdr:colOff>352727</xdr:colOff>
      <xdr:row>4</xdr:row>
      <xdr:rowOff>76200</xdr:rowOff>
    </xdr:from>
    <xdr:to>
      <xdr:col>40</xdr:col>
      <xdr:colOff>482147</xdr:colOff>
      <xdr:row>6</xdr:row>
      <xdr:rowOff>64295</xdr:rowOff>
    </xdr:to>
    <xdr:graphicFrame macro="">
      <xdr:nvGraphicFramePr>
        <xdr:cNvPr id="55" name="Chart 54">
          <a:extLst>
            <a:ext uri="{FF2B5EF4-FFF2-40B4-BE49-F238E27FC236}">
              <a16:creationId xmlns:a16="http://schemas.microsoft.com/office/drawing/2014/main" id="{AB7FC428-FC95-B960-D792-12802A015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43</xdr:col>
      <xdr:colOff>309560</xdr:colOff>
      <xdr:row>4</xdr:row>
      <xdr:rowOff>166686</xdr:rowOff>
    </xdr:from>
    <xdr:to>
      <xdr:col>50</xdr:col>
      <xdr:colOff>214312</xdr:colOff>
      <xdr:row>8</xdr:row>
      <xdr:rowOff>166687</xdr:rowOff>
    </xdr:to>
    <mc:AlternateContent xmlns:mc="http://schemas.openxmlformats.org/markup-compatibility/2006" xmlns:a14="http://schemas.microsoft.com/office/drawing/2010/main">
      <mc:Choice Requires="a14">
        <xdr:graphicFrame macro="">
          <xdr:nvGraphicFramePr>
            <xdr:cNvPr id="56" name="Product Name">
              <a:extLst>
                <a:ext uri="{FF2B5EF4-FFF2-40B4-BE49-F238E27FC236}">
                  <a16:creationId xmlns:a16="http://schemas.microsoft.com/office/drawing/2014/main" id="{BADC2EF8-BD78-EDAC-434D-568AD9F7385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6931935" y="928686"/>
              <a:ext cx="4238627" cy="762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381000</xdr:colOff>
      <xdr:row>8</xdr:row>
      <xdr:rowOff>142874</xdr:rowOff>
    </xdr:from>
    <xdr:to>
      <xdr:col>50</xdr:col>
      <xdr:colOff>253365</xdr:colOff>
      <xdr:row>12</xdr:row>
      <xdr:rowOff>166687</xdr:rowOff>
    </xdr:to>
    <mc:AlternateContent xmlns:mc="http://schemas.openxmlformats.org/markup-compatibility/2006" xmlns:a14="http://schemas.microsoft.com/office/drawing/2010/main">
      <mc:Choice Requires="a14">
        <xdr:graphicFrame macro="">
          <xdr:nvGraphicFramePr>
            <xdr:cNvPr id="57" name="Salesperson">
              <a:extLst>
                <a:ext uri="{FF2B5EF4-FFF2-40B4-BE49-F238E27FC236}">
                  <a16:creationId xmlns:a16="http://schemas.microsoft.com/office/drawing/2014/main" id="{5AB0505A-8EE7-A1FD-19EC-3D51133AF0C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7003375" y="1666874"/>
              <a:ext cx="4206240" cy="785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46</xdr:col>
      <xdr:colOff>58220</xdr:colOff>
      <xdr:row>67</xdr:row>
      <xdr:rowOff>47625</xdr:rowOff>
    </xdr:from>
    <xdr:to>
      <xdr:col>49</xdr:col>
      <xdr:colOff>428624</xdr:colOff>
      <xdr:row>68</xdr:row>
      <xdr:rowOff>142875</xdr:rowOff>
    </xdr:to>
    <xdr:sp macro="" textlink="">
      <xdr:nvSpPr>
        <xdr:cNvPr id="4" name="TextBox 3">
          <a:extLst>
            <a:ext uri="{FF2B5EF4-FFF2-40B4-BE49-F238E27FC236}">
              <a16:creationId xmlns:a16="http://schemas.microsoft.com/office/drawing/2014/main" id="{1CA619D3-E783-54C5-F425-5804E857DA4B}"/>
            </a:ext>
          </a:extLst>
        </xdr:cNvPr>
        <xdr:cNvSpPr txBox="1"/>
      </xdr:nvSpPr>
      <xdr:spPr>
        <a:xfrm>
          <a:off x="28537970" y="12811125"/>
          <a:ext cx="222777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Analysis</a:t>
          </a:r>
          <a:r>
            <a:rPr lang="en-US" sz="1600" b="1" baseline="0"/>
            <a:t> by john</a:t>
          </a:r>
          <a:endParaRPr lang="en-US" sz="1600" b="1"/>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224596</xdr:colOff>
      <xdr:row>0</xdr:row>
      <xdr:rowOff>83792</xdr:rowOff>
    </xdr:from>
    <xdr:to>
      <xdr:col>8</xdr:col>
      <xdr:colOff>279813</xdr:colOff>
      <xdr:row>12</xdr:row>
      <xdr:rowOff>180975</xdr:rowOff>
    </xdr:to>
    <xdr:sp macro="" textlink="">
      <xdr:nvSpPr>
        <xdr:cNvPr id="4" name="Rectangle: Rounded Corners 3">
          <a:extLst>
            <a:ext uri="{FF2B5EF4-FFF2-40B4-BE49-F238E27FC236}">
              <a16:creationId xmlns:a16="http://schemas.microsoft.com/office/drawing/2014/main" id="{D7829D8F-9750-6AC0-F4A9-5E2DAAAF8C17}"/>
            </a:ext>
          </a:extLst>
        </xdr:cNvPr>
        <xdr:cNvSpPr/>
      </xdr:nvSpPr>
      <xdr:spPr>
        <a:xfrm>
          <a:off x="224596" y="83792"/>
          <a:ext cx="4932017" cy="2383183"/>
        </a:xfrm>
        <a:prstGeom prst="roundRect">
          <a:avLst>
            <a:gd name="adj" fmla="val 11429"/>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OBSERVATION</a:t>
          </a:r>
          <a:r>
            <a:rPr lang="en-US" sz="1100" u="sng" baseline="0"/>
            <a:t> </a:t>
          </a:r>
        </a:p>
        <a:p>
          <a:pPr algn="l"/>
          <a:r>
            <a:rPr lang="en-US" sz="1100" u="sng" baseline="0"/>
            <a:t>Nancy freehafer  (North region) </a:t>
          </a:r>
        </a:p>
        <a:p>
          <a:pPr algn="l"/>
          <a:r>
            <a:rPr lang="en-US"/>
            <a:t>Nancy generated the highest overall revenue among all salespersons. Her sales were driven mainly by beverages, sauces, dairy products, canned meat, and candy, with beverages contributing the most. She sold primarily to Companies H, A, and G, with Company H being the top contributor. February recorded her lowest sales, while December marked her peak performance.</a:t>
          </a:r>
          <a:endParaRPr lang="en-US" sz="1100" u="sng"/>
        </a:p>
      </xdr:txBody>
    </xdr:sp>
    <xdr:clientData/>
  </xdr:twoCellAnchor>
  <xdr:twoCellAnchor>
    <xdr:from>
      <xdr:col>8</xdr:col>
      <xdr:colOff>542234</xdr:colOff>
      <xdr:row>0</xdr:row>
      <xdr:rowOff>75785</xdr:rowOff>
    </xdr:from>
    <xdr:to>
      <xdr:col>16</xdr:col>
      <xdr:colOff>599659</xdr:colOff>
      <xdr:row>13</xdr:row>
      <xdr:rowOff>180975</xdr:rowOff>
    </xdr:to>
    <xdr:sp macro="" textlink="">
      <xdr:nvSpPr>
        <xdr:cNvPr id="5" name="Rectangle: Rounded Corners 4">
          <a:extLst>
            <a:ext uri="{FF2B5EF4-FFF2-40B4-BE49-F238E27FC236}">
              <a16:creationId xmlns:a16="http://schemas.microsoft.com/office/drawing/2014/main" id="{5CAB857E-A7EB-2101-3B2A-36B70C7EBE22}"/>
            </a:ext>
          </a:extLst>
        </xdr:cNvPr>
        <xdr:cNvSpPr/>
      </xdr:nvSpPr>
      <xdr:spPr>
        <a:xfrm>
          <a:off x="5419034" y="75785"/>
          <a:ext cx="4934225" cy="2581690"/>
        </a:xfrm>
        <a:prstGeom prst="roundRect">
          <a:avLst>
            <a:gd name="adj" fmla="val 11429"/>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b="1" u="sng"/>
            <a:t>Anne Larsen (South Region)</a:t>
          </a:r>
          <a:br>
            <a:rPr lang="en-US"/>
          </a:br>
          <a:r>
            <a:rPr lang="en-US"/>
            <a:t>Anne generated approximately $93,588.33 in revenue across multiple product categories, including beverages, canned meat, sauces, oil, and soups. Her peak sales month was December, while October recorded her lowest sales, indicating strong year-end performance</a:t>
          </a:r>
          <a:endParaRPr lang="en-US" sz="1100"/>
        </a:p>
      </xdr:txBody>
    </xdr:sp>
    <xdr:clientData/>
  </xdr:twoCellAnchor>
  <xdr:twoCellAnchor>
    <xdr:from>
      <xdr:col>17</xdr:col>
      <xdr:colOff>195330</xdr:colOff>
      <xdr:row>0</xdr:row>
      <xdr:rowOff>67779</xdr:rowOff>
    </xdr:from>
    <xdr:to>
      <xdr:col>25</xdr:col>
      <xdr:colOff>250547</xdr:colOff>
      <xdr:row>13</xdr:row>
      <xdr:rowOff>133351</xdr:rowOff>
    </xdr:to>
    <xdr:sp macro="" textlink="">
      <xdr:nvSpPr>
        <xdr:cNvPr id="6" name="Rectangle: Rounded Corners 5">
          <a:extLst>
            <a:ext uri="{FF2B5EF4-FFF2-40B4-BE49-F238E27FC236}">
              <a16:creationId xmlns:a16="http://schemas.microsoft.com/office/drawing/2014/main" id="{1541A652-973E-1C35-B58D-EE871339B298}"/>
            </a:ext>
          </a:extLst>
        </xdr:cNvPr>
        <xdr:cNvSpPr/>
      </xdr:nvSpPr>
      <xdr:spPr>
        <a:xfrm>
          <a:off x="10558530" y="67779"/>
          <a:ext cx="4932017" cy="2542072"/>
        </a:xfrm>
        <a:prstGeom prst="roundRect">
          <a:avLst>
            <a:gd name="adj" fmla="val 11429"/>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b="1" u="sng"/>
            <a:t>Andrew Cecchini (East Region)</a:t>
          </a:r>
          <a:br>
            <a:rPr lang="en-US"/>
          </a:br>
          <a:r>
            <a:rPr lang="en-US"/>
            <a:t>Andrew generated about $67,180.50 from products such as jams, preserves, dried fruits &amp; nuts, pasta, grains, and baked goods. He managed a single key customer (Company D). April recorded his lowest sales, while June was his peak month</a:t>
          </a:r>
          <a:endParaRPr lang="en-US" sz="1100"/>
        </a:p>
      </xdr:txBody>
    </xdr:sp>
    <xdr:clientData/>
  </xdr:twoCellAnchor>
  <xdr:twoCellAnchor>
    <xdr:from>
      <xdr:col>26</xdr:col>
      <xdr:colOff>108240</xdr:colOff>
      <xdr:row>0</xdr:row>
      <xdr:rowOff>104775</xdr:rowOff>
    </xdr:from>
    <xdr:to>
      <xdr:col>34</xdr:col>
      <xdr:colOff>571500</xdr:colOff>
      <xdr:row>12</xdr:row>
      <xdr:rowOff>51955</xdr:rowOff>
    </xdr:to>
    <xdr:sp macro="" textlink="">
      <xdr:nvSpPr>
        <xdr:cNvPr id="7" name="Rectangle: Rounded Corners 6">
          <a:extLst>
            <a:ext uri="{FF2B5EF4-FFF2-40B4-BE49-F238E27FC236}">
              <a16:creationId xmlns:a16="http://schemas.microsoft.com/office/drawing/2014/main" id="{C1D3901A-1ADF-10BD-6C9E-8E713EADEEC2}"/>
            </a:ext>
          </a:extLst>
        </xdr:cNvPr>
        <xdr:cNvSpPr/>
      </xdr:nvSpPr>
      <xdr:spPr>
        <a:xfrm>
          <a:off x="15957840" y="104775"/>
          <a:ext cx="5340060" cy="2233180"/>
        </a:xfrm>
        <a:prstGeom prst="roundRect">
          <a:avLst>
            <a:gd name="adj" fmla="val 13641"/>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b="1" u="sng"/>
            <a:t>Mariya Sergienko (West Region)</a:t>
          </a:r>
          <a:br>
            <a:rPr lang="en-US"/>
          </a:br>
          <a:r>
            <a:rPr lang="en-US"/>
            <a:t>Mariya generated approximately $42,370.88 in revenue, mainly from sauces and beverages, which were the highest contributors. Condiments, soups, and dried fruits &amp; nuts contributed less. November was her lowest-performing month, while December recorded the highest sales. Her main customers included Company C and Company AA</a:t>
          </a:r>
          <a:endParaRPr lang="en-US" sz="1100"/>
        </a:p>
      </xdr:txBody>
    </xdr:sp>
    <xdr:clientData/>
  </xdr:twoCellAnchor>
  <xdr:twoCellAnchor>
    <xdr:from>
      <xdr:col>0</xdr:col>
      <xdr:colOff>193965</xdr:colOff>
      <xdr:row>13</xdr:row>
      <xdr:rowOff>43295</xdr:rowOff>
    </xdr:from>
    <xdr:to>
      <xdr:col>8</xdr:col>
      <xdr:colOff>428625</xdr:colOff>
      <xdr:row>25</xdr:row>
      <xdr:rowOff>28575</xdr:rowOff>
    </xdr:to>
    <xdr:sp macro="" textlink="">
      <xdr:nvSpPr>
        <xdr:cNvPr id="8" name="Rectangle: Rounded Corners 7">
          <a:extLst>
            <a:ext uri="{FF2B5EF4-FFF2-40B4-BE49-F238E27FC236}">
              <a16:creationId xmlns:a16="http://schemas.microsoft.com/office/drawing/2014/main" id="{E26F1D81-E2C7-0146-7FA2-16F536E8300B}"/>
            </a:ext>
          </a:extLst>
        </xdr:cNvPr>
        <xdr:cNvSpPr/>
      </xdr:nvSpPr>
      <xdr:spPr>
        <a:xfrm>
          <a:off x="193965" y="2519795"/>
          <a:ext cx="5111460" cy="2271280"/>
        </a:xfrm>
        <a:prstGeom prst="roundRect">
          <a:avLst>
            <a:gd name="adj" fmla="val 13641"/>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b="1" u="sng"/>
            <a:t>Laura Giussani (East Region)</a:t>
          </a:r>
          <a:br>
            <a:rPr lang="en-US"/>
          </a:br>
          <a:r>
            <a:rPr lang="en-US"/>
            <a:t>Laura generated about $41,095.01 from various product categories including condiments, baked goods, jams &amp; preserves, and dried fruits. Her peak sales occurred in June, followed by December, while March recorded the lowest sales. She mainly sold to Companies J and Y</a:t>
          </a:r>
          <a:endParaRPr lang="en-US" sz="1100"/>
        </a:p>
      </xdr:txBody>
    </xdr:sp>
    <xdr:clientData/>
  </xdr:twoCellAnchor>
  <xdr:twoCellAnchor>
    <xdr:from>
      <xdr:col>9</xdr:col>
      <xdr:colOff>70140</xdr:colOff>
      <xdr:row>14</xdr:row>
      <xdr:rowOff>109970</xdr:rowOff>
    </xdr:from>
    <xdr:to>
      <xdr:col>17</xdr:col>
      <xdr:colOff>304800</xdr:colOff>
      <xdr:row>24</xdr:row>
      <xdr:rowOff>104775</xdr:rowOff>
    </xdr:to>
    <xdr:sp macro="" textlink="">
      <xdr:nvSpPr>
        <xdr:cNvPr id="9" name="Rectangle: Rounded Corners 8">
          <a:extLst>
            <a:ext uri="{FF2B5EF4-FFF2-40B4-BE49-F238E27FC236}">
              <a16:creationId xmlns:a16="http://schemas.microsoft.com/office/drawing/2014/main" id="{59598815-49F5-73C9-E86A-0385424F8F33}"/>
            </a:ext>
          </a:extLst>
        </xdr:cNvPr>
        <xdr:cNvSpPr/>
      </xdr:nvSpPr>
      <xdr:spPr>
        <a:xfrm>
          <a:off x="5556540" y="2776970"/>
          <a:ext cx="5111460" cy="1899805"/>
        </a:xfrm>
        <a:prstGeom prst="roundRect">
          <a:avLst>
            <a:gd name="adj" fmla="val 13641"/>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b="1" u="sng"/>
            <a:t>Michael Neipper (North Region)</a:t>
          </a:r>
          <a:br>
            <a:rPr lang="en-US"/>
          </a:br>
          <a:r>
            <a:rPr lang="en-US"/>
            <a:t>Michael generated approximately $37,428.00, mainly from beverages, sauces, candy, dried fruits &amp; nuts, and shipping fees. His peak sales occurred in October, while April recorded the lowest. He primarily served Company F as his key customer</a:t>
          </a:r>
          <a:endParaRPr lang="en-US" sz="1100"/>
        </a:p>
      </xdr:txBody>
    </xdr:sp>
    <xdr:clientData/>
  </xdr:twoCellAnchor>
  <xdr:twoCellAnchor>
    <xdr:from>
      <xdr:col>17</xdr:col>
      <xdr:colOff>485775</xdr:colOff>
      <xdr:row>14</xdr:row>
      <xdr:rowOff>28576</xdr:rowOff>
    </xdr:from>
    <xdr:to>
      <xdr:col>26</xdr:col>
      <xdr:colOff>219075</xdr:colOff>
      <xdr:row>25</xdr:row>
      <xdr:rowOff>47626</xdr:rowOff>
    </xdr:to>
    <xdr:sp macro="" textlink="">
      <xdr:nvSpPr>
        <xdr:cNvPr id="10" name="Rectangle: Rounded Corners 9">
          <a:extLst>
            <a:ext uri="{FF2B5EF4-FFF2-40B4-BE49-F238E27FC236}">
              <a16:creationId xmlns:a16="http://schemas.microsoft.com/office/drawing/2014/main" id="{CDC41A25-FB8C-D917-7706-F887D5D6AAC9}"/>
            </a:ext>
          </a:extLst>
        </xdr:cNvPr>
        <xdr:cNvSpPr/>
      </xdr:nvSpPr>
      <xdr:spPr>
        <a:xfrm>
          <a:off x="10848975" y="2695576"/>
          <a:ext cx="5219700" cy="2114550"/>
        </a:xfrm>
        <a:prstGeom prst="roundRect">
          <a:avLst>
            <a:gd name="adj" fmla="val 12837"/>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b="1" u="sng"/>
            <a:t>Robert Zare (West Region)</a:t>
          </a:r>
          <a:br>
            <a:rPr lang="en-US"/>
          </a:br>
          <a:r>
            <a:rPr lang="en-US"/>
            <a:t>Robert generated about $32,530.60 mainly from dairy products, pasta, and soups. February recorded the lowest sales, while October recorded the highest. His main customer was Company I</a:t>
          </a:r>
          <a:endParaRPr lang="en-US" sz="1100"/>
        </a:p>
      </xdr:txBody>
    </xdr:sp>
    <xdr:clientData/>
  </xdr:twoCellAnchor>
  <xdr:twoCellAnchor>
    <xdr:from>
      <xdr:col>26</xdr:col>
      <xdr:colOff>314325</xdr:colOff>
      <xdr:row>14</xdr:row>
      <xdr:rowOff>28575</xdr:rowOff>
    </xdr:from>
    <xdr:to>
      <xdr:col>35</xdr:col>
      <xdr:colOff>47625</xdr:colOff>
      <xdr:row>24</xdr:row>
      <xdr:rowOff>95250</xdr:rowOff>
    </xdr:to>
    <xdr:sp macro="" textlink="">
      <xdr:nvSpPr>
        <xdr:cNvPr id="11" name="Rectangle: Rounded Corners 10">
          <a:extLst>
            <a:ext uri="{FF2B5EF4-FFF2-40B4-BE49-F238E27FC236}">
              <a16:creationId xmlns:a16="http://schemas.microsoft.com/office/drawing/2014/main" id="{9D2B89FD-D70D-F2E3-6DCD-9B580E2F52F3}"/>
            </a:ext>
          </a:extLst>
        </xdr:cNvPr>
        <xdr:cNvSpPr/>
      </xdr:nvSpPr>
      <xdr:spPr>
        <a:xfrm>
          <a:off x="16163925" y="2695575"/>
          <a:ext cx="5219700" cy="1971675"/>
        </a:xfrm>
        <a:prstGeom prst="roundRect">
          <a:avLst>
            <a:gd name="adj" fmla="val 12837"/>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b="1" u="sng"/>
            <a:t>Jan Kotas (West Region)</a:t>
          </a:r>
          <a:br>
            <a:rPr lang="en-US"/>
          </a:br>
          <a:r>
            <a:rPr lang="en-US"/>
            <a:t>jan recorded the least revenue among the salesperson,Jan generated approximately $16,350.50  in revenue, mainly from beverages, fruits &amp; vegetables, and candy. He served Company CC as his primary customer. June recorded his highest sales month.</a:t>
          </a:r>
          <a:endParaRPr lang="en-US" sz="1100"/>
        </a:p>
      </xdr:txBody>
    </xdr:sp>
    <xdr:clientData/>
  </xdr:twoCellAnchor>
  <xdr:twoCellAnchor>
    <xdr:from>
      <xdr:col>12</xdr:col>
      <xdr:colOff>428625</xdr:colOff>
      <xdr:row>28</xdr:row>
      <xdr:rowOff>95249</xdr:rowOff>
    </xdr:from>
    <xdr:to>
      <xdr:col>22</xdr:col>
      <xdr:colOff>47625</xdr:colOff>
      <xdr:row>46</xdr:row>
      <xdr:rowOff>57150</xdr:rowOff>
    </xdr:to>
    <xdr:sp macro="" textlink="">
      <xdr:nvSpPr>
        <xdr:cNvPr id="12" name="Rectangle: Rounded Corners 11">
          <a:extLst>
            <a:ext uri="{FF2B5EF4-FFF2-40B4-BE49-F238E27FC236}">
              <a16:creationId xmlns:a16="http://schemas.microsoft.com/office/drawing/2014/main" id="{9CFED90C-73B1-23D3-6EA7-FAC568352822}"/>
            </a:ext>
          </a:extLst>
        </xdr:cNvPr>
        <xdr:cNvSpPr/>
      </xdr:nvSpPr>
      <xdr:spPr>
        <a:xfrm>
          <a:off x="7743825" y="5429249"/>
          <a:ext cx="5715000" cy="3390901"/>
        </a:xfrm>
        <a:prstGeom prst="roundRect">
          <a:avLst>
            <a:gd name="adj" fmla="val 13143"/>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r>
            <a:rPr lang="en-US" b="1" u="sng"/>
            <a:t>Regional &amp; Product Observations</a:t>
          </a:r>
        </a:p>
        <a:p>
          <a:r>
            <a:rPr lang="en-US"/>
            <a:t> </a:t>
          </a:r>
          <a:r>
            <a:rPr lang="en-US" b="0" u="sng"/>
            <a:t>North region: </a:t>
          </a:r>
          <a:r>
            <a:rPr lang="en-US" b="0" u="none"/>
            <a:t>B</a:t>
          </a:r>
          <a:r>
            <a:rPr lang="en-US" b="0"/>
            <a:t>everages were the most demanded product category and contributed the highest revenue. </a:t>
          </a:r>
        </a:p>
        <a:p>
          <a:r>
            <a:rPr lang="en-US" b="0"/>
            <a:t>December recorded the highest revenue overall, while April had the lowest.Nancy and Michael were the key contributors.</a:t>
          </a:r>
        </a:p>
        <a:p>
          <a:r>
            <a:rPr lang="en-US" b="1" u="sng"/>
            <a:t>West region </a:t>
          </a:r>
          <a:r>
            <a:rPr lang="en-US"/>
            <a:t>:</a:t>
          </a:r>
          <a:r>
            <a:rPr lang="en-US" b="0"/>
            <a:t>Recorded strong performance, with beverages being the most sought-after product. December was the peak month, and Company I emerged as the top customer in the region.</a:t>
          </a:r>
        </a:p>
        <a:p>
          <a:pPr marL="0" marR="0" lvl="0" indent="0" defTabSz="914400" eaLnBrk="1" fontAlgn="auto" latinLnBrk="0" hangingPunct="1">
            <a:lnSpc>
              <a:spcPct val="100000"/>
            </a:lnSpc>
            <a:spcBef>
              <a:spcPts val="0"/>
            </a:spcBef>
            <a:spcAft>
              <a:spcPts val="0"/>
            </a:spcAft>
            <a:buClrTx/>
            <a:buSzTx/>
            <a:buFontTx/>
            <a:buNone/>
            <a:tabLst/>
            <a:defRPr/>
          </a:pPr>
          <a:r>
            <a:rPr lang="en-US"/>
            <a:t> </a:t>
          </a:r>
          <a:r>
            <a:rPr lang="en-US" b="1" u="sng"/>
            <a:t>East region</a:t>
          </a:r>
          <a:r>
            <a:rPr lang="en-US" b="0"/>
            <a:t>:</a:t>
          </a:r>
          <a:r>
            <a:rPr lang="en-US"/>
            <a:t> jams &amp; preserves generated the highest revenue, with Company D as the top customer. </a:t>
          </a:r>
          <a:r>
            <a:rPr lang="en-US" sz="1100">
              <a:solidFill>
                <a:schemeClr val="lt1"/>
              </a:solidFill>
              <a:effectLst/>
              <a:latin typeface="+mn-lt"/>
              <a:ea typeface="+mn-ea"/>
              <a:cs typeface="+mn-cs"/>
            </a:rPr>
            <a:t>June recorded the highest sales month.</a:t>
          </a:r>
          <a:endParaRPr lang="en-US">
            <a:effectLst/>
          </a:endParaRPr>
        </a:p>
        <a:p>
          <a:r>
            <a:rPr lang="en-US" b="1" u="sng"/>
            <a:t>South</a:t>
          </a:r>
          <a:r>
            <a:rPr lang="en-US" b="1" u="sng" baseline="0"/>
            <a:t> region</a:t>
          </a:r>
          <a:r>
            <a:rPr lang="en-US" baseline="0"/>
            <a:t>: bevereages generated the highest revenue.</a:t>
          </a:r>
          <a:endParaRPr lang="en-US"/>
        </a:p>
        <a:p>
          <a:endParaRPr lang="en-US"/>
        </a:p>
        <a:p>
          <a:r>
            <a:rPr lang="en-US"/>
            <a:t>Across all regions, December consistently appeared as the peak sales period, highlighting strong year-end demand.</a:t>
          </a:r>
        </a:p>
        <a:p>
          <a:pPr algn="l"/>
          <a:endParaRPr lang="en-US" sz="1100"/>
        </a:p>
      </xdr:txBody>
    </xdr:sp>
    <xdr:clientData/>
  </xdr:twoCellAnchor>
  <xdr:twoCellAnchor>
    <xdr:from>
      <xdr:col>0</xdr:col>
      <xdr:colOff>85725</xdr:colOff>
      <xdr:row>30</xdr:row>
      <xdr:rowOff>38098</xdr:rowOff>
    </xdr:from>
    <xdr:to>
      <xdr:col>12</xdr:col>
      <xdr:colOff>266700</xdr:colOff>
      <xdr:row>59</xdr:row>
      <xdr:rowOff>123825</xdr:rowOff>
    </xdr:to>
    <xdr:sp macro="" textlink="">
      <xdr:nvSpPr>
        <xdr:cNvPr id="13" name="Rectangle: Rounded Corners 12">
          <a:extLst>
            <a:ext uri="{FF2B5EF4-FFF2-40B4-BE49-F238E27FC236}">
              <a16:creationId xmlns:a16="http://schemas.microsoft.com/office/drawing/2014/main" id="{EC48F096-31ED-5F01-4C64-54BAB07129E1}"/>
            </a:ext>
          </a:extLst>
        </xdr:cNvPr>
        <xdr:cNvSpPr/>
      </xdr:nvSpPr>
      <xdr:spPr>
        <a:xfrm>
          <a:off x="85725" y="5753098"/>
          <a:ext cx="7496175" cy="5610227"/>
        </a:xfrm>
        <a:prstGeom prst="roundRect">
          <a:avLst>
            <a:gd name="adj" fmla="val 12791"/>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INSIGHTS</a:t>
          </a:r>
        </a:p>
        <a:p>
          <a:r>
            <a:rPr lang="en-US" b="1" u="sng"/>
            <a:t>Top Salesperson Dominance</a:t>
          </a:r>
          <a:br>
            <a:rPr lang="en-US"/>
          </a:br>
          <a:r>
            <a:rPr lang="en-US"/>
            <a:t>Nancy Freehafer leads significantly in total revenue, showing exceptional performance and strong customer management.</a:t>
          </a:r>
        </a:p>
        <a:p>
          <a:r>
            <a:rPr lang="en-US" b="1" u="sng"/>
            <a:t>Regional Product Preferences</a:t>
          </a:r>
          <a:br>
            <a:rPr lang="en-US"/>
          </a:br>
          <a:r>
            <a:rPr lang="en-US"/>
            <a:t>Each region shows distinct product demand patterns:</a:t>
          </a:r>
        </a:p>
        <a:p>
          <a:r>
            <a:rPr lang="en-US" b="1" u="sng"/>
            <a:t>North &amp; West: </a:t>
          </a:r>
          <a:r>
            <a:rPr lang="en-US"/>
            <a:t>Beverages and sauces dominate</a:t>
          </a:r>
        </a:p>
        <a:p>
          <a:r>
            <a:rPr lang="en-US" b="1" u="sng"/>
            <a:t>East: </a:t>
          </a:r>
          <a:r>
            <a:rPr lang="en-US"/>
            <a:t>Jams, preserves, and specialty items</a:t>
          </a:r>
        </a:p>
        <a:p>
          <a:r>
            <a:rPr lang="en-US" b="1" u="sng"/>
            <a:t>South: </a:t>
          </a:r>
          <a:r>
            <a:rPr lang="en-US"/>
            <a:t>Mixed product demand across categories</a:t>
          </a:r>
        </a:p>
        <a:p>
          <a:r>
            <a:rPr lang="en-US" b="1" u="sng"/>
            <a:t>Seasonal Sales Trend</a:t>
          </a:r>
          <a:br>
            <a:rPr lang="en-US"/>
          </a:br>
          <a:r>
            <a:rPr lang="en-US"/>
            <a:t>December is consistently the highest-performing month across most regions and salespersons, indicating strong seasonal demand.</a:t>
          </a:r>
        </a:p>
        <a:p>
          <a:r>
            <a:rPr lang="en-US" b="1" u="sng"/>
            <a:t>Uneven Revenue Distribution</a:t>
          </a:r>
          <a:br>
            <a:rPr lang="en-US"/>
          </a:br>
          <a:r>
            <a:rPr lang="en-US"/>
            <a:t>A few salespersons and customers contribute the majority of revenue, indicating opportunities to strengthen lower-performing segments.</a:t>
          </a:r>
        </a:p>
        <a:p>
          <a:pPr algn="l"/>
          <a:endParaRPr lang="en-US" sz="1100"/>
        </a:p>
        <a:p>
          <a:pPr algn="l"/>
          <a:r>
            <a:rPr lang="en-US" sz="1100" b="1" u="sng"/>
            <a:t>RECOMMENDATION</a:t>
          </a:r>
          <a:br>
            <a:rPr lang="en-US"/>
          </a:br>
          <a:r>
            <a:rPr lang="en-US"/>
            <a:t>Analyzing and replicating Nancy Freehafer’s sales approach across other regions to improve overall team performance.</a:t>
          </a:r>
          <a:br>
            <a:rPr lang="en-US"/>
          </a:br>
          <a:r>
            <a:rPr lang="en-US"/>
            <a:t>Since December is the strongest month, increase marketing campaigns, stock availability, and promotional offers from October to December to maximize revenue.</a:t>
          </a:r>
          <a:br>
            <a:rPr lang="en-US"/>
          </a:br>
          <a:r>
            <a:rPr lang="en-US" u="sng"/>
            <a:t>Promoting cross selling </a:t>
          </a:r>
          <a:r>
            <a:rPr lang="en-US"/>
            <a:t>:Encourage customers to purchase across multiple product categories to increase average order value and reduce reliance on single-product sales.</a:t>
          </a:r>
          <a:br>
            <a:rPr lang="en-US"/>
          </a:br>
          <a:r>
            <a:rPr lang="en-US"/>
            <a:t>Capitalize on strong-performing products in each region and introduce them strategically into other regions to increase market penetration.</a:t>
          </a:r>
          <a:br>
            <a:rPr lang="en-US"/>
          </a:br>
          <a:r>
            <a:rPr lang="en-US"/>
            <a:t>Provide targeted support, incentives, and training for salespersons with lower revenue to improve productivity and balance performance across the team.</a:t>
          </a:r>
        </a:p>
        <a:p>
          <a:pPr algn="l"/>
          <a:endParaRPr lang="en-US" sz="1100"/>
        </a:p>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190500</xdr:colOff>
      <xdr:row>16</xdr:row>
      <xdr:rowOff>57148</xdr:rowOff>
    </xdr:from>
    <xdr:to>
      <xdr:col>6</xdr:col>
      <xdr:colOff>333375</xdr:colOff>
      <xdr:row>29</xdr:row>
      <xdr:rowOff>28575</xdr:rowOff>
    </xdr:to>
    <xdr:sp macro="" textlink="">
      <xdr:nvSpPr>
        <xdr:cNvPr id="2" name="Rectangle: Rounded Corners 1">
          <a:extLst>
            <a:ext uri="{FF2B5EF4-FFF2-40B4-BE49-F238E27FC236}">
              <a16:creationId xmlns:a16="http://schemas.microsoft.com/office/drawing/2014/main" id="{6B2F8910-191F-989A-9C72-E1B0AAB56FA1}"/>
            </a:ext>
          </a:extLst>
        </xdr:cNvPr>
        <xdr:cNvSpPr/>
      </xdr:nvSpPr>
      <xdr:spPr>
        <a:xfrm>
          <a:off x="190500" y="3105148"/>
          <a:ext cx="3800475" cy="2447927"/>
        </a:xfrm>
        <a:prstGeom prst="roundRect">
          <a:avLst>
            <a:gd name="adj" fmla="val 777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A</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u="none">
              <a:solidFill>
                <a:schemeClr val="lt1"/>
              </a:solidFill>
              <a:effectLst/>
              <a:latin typeface="+mn-lt"/>
              <a:ea typeface="+mn-ea"/>
              <a:cs typeface="+mn-cs"/>
            </a:rPr>
            <a:t>Company A generates $36,839.99 in total revenue</a:t>
          </a:r>
          <a:r>
            <a:rPr lang="en-US" sz="1100" b="0" u="none" baseline="0">
              <a:solidFill>
                <a:schemeClr val="lt1"/>
              </a:solidFill>
              <a:effectLst/>
              <a:latin typeface="+mn-lt"/>
              <a:ea typeface="+mn-ea"/>
              <a:cs typeface="+mn-cs"/>
            </a:rPr>
            <a:t> dealing only with one salesperson which is nancy freehafer  </a:t>
          </a:r>
          <a:endParaRPr lang="en-US" b="0" u="none">
            <a:effectLst/>
          </a:endParaRPr>
        </a:p>
        <a:p>
          <a:r>
            <a:rPr lang="en-US" b="0" u="none"/>
            <a:t>company</a:t>
          </a:r>
          <a:r>
            <a:rPr lang="en-US" b="0" u="none" baseline="0"/>
            <a:t> A purchases majorly beverages product with little bit of canned meat.</a:t>
          </a:r>
        </a:p>
        <a:p>
          <a:r>
            <a:rPr lang="en-US" sz="1100" b="0">
              <a:solidFill>
                <a:schemeClr val="lt1"/>
              </a:solidFill>
              <a:effectLst/>
              <a:latin typeface="+mn-lt"/>
              <a:ea typeface="+mn-ea"/>
              <a:cs typeface="+mn-cs"/>
            </a:rPr>
            <a:t>Company A is</a:t>
          </a:r>
          <a:r>
            <a:rPr lang="en-US" sz="1100" b="0" baseline="0">
              <a:solidFill>
                <a:schemeClr val="lt1"/>
              </a:solidFill>
              <a:effectLst/>
              <a:latin typeface="+mn-lt"/>
              <a:ea typeface="+mn-ea"/>
              <a:cs typeface="+mn-cs"/>
            </a:rPr>
            <a:t> from the Northern</a:t>
          </a:r>
          <a:r>
            <a:rPr lang="en-US" sz="1100" b="0">
              <a:solidFill>
                <a:schemeClr val="lt1"/>
              </a:solidFill>
              <a:effectLst/>
              <a:latin typeface="+mn-lt"/>
              <a:ea typeface="+mn-ea"/>
              <a:cs typeface="+mn-cs"/>
            </a:rPr>
            <a:t> region.</a:t>
          </a:r>
        </a:p>
        <a:p>
          <a:r>
            <a:rPr lang="en-US" sz="1100" b="0">
              <a:solidFill>
                <a:schemeClr val="lt1"/>
              </a:solidFill>
              <a:effectLst/>
              <a:latin typeface="+mn-lt"/>
              <a:ea typeface="+mn-ea"/>
              <a:cs typeface="+mn-cs"/>
            </a:rPr>
            <a:t>December was</a:t>
          </a:r>
          <a:r>
            <a:rPr lang="en-US" sz="1100" b="0" baseline="0">
              <a:solidFill>
                <a:schemeClr val="lt1"/>
              </a:solidFill>
              <a:effectLst/>
              <a:latin typeface="+mn-lt"/>
              <a:ea typeface="+mn-ea"/>
              <a:cs typeface="+mn-cs"/>
            </a:rPr>
            <a:t> the month with</a:t>
          </a:r>
          <a:r>
            <a:rPr lang="en-US" sz="1100" b="0">
              <a:solidFill>
                <a:schemeClr val="lt1"/>
              </a:solidFill>
              <a:effectLst/>
              <a:latin typeface="+mn-lt"/>
              <a:ea typeface="+mn-ea"/>
              <a:cs typeface="+mn-cs"/>
            </a:rPr>
            <a:t> the highest revenue ($6,895.36), indicating strong year-end purchasing behavior.</a:t>
          </a:r>
          <a:endParaRPr lang="en-US" b="0">
            <a:effectLst/>
          </a:endParaRPr>
        </a:p>
        <a:p>
          <a:r>
            <a:rPr lang="en-US" sz="1100" b="0">
              <a:solidFill>
                <a:schemeClr val="lt1"/>
              </a:solidFill>
              <a:effectLst/>
              <a:latin typeface="+mn-lt"/>
              <a:ea typeface="+mn-ea"/>
              <a:cs typeface="+mn-cs"/>
            </a:rPr>
            <a:t>There is a noticeable dip mid-year (around July), showing inconsistent monthly demand. </a:t>
          </a:r>
          <a:endParaRPr lang="en-US" b="0">
            <a:effectLst/>
          </a:endParaRPr>
        </a:p>
        <a:p>
          <a:endParaRPr lang="en-US"/>
        </a:p>
        <a:p>
          <a:pPr algn="l"/>
          <a:endParaRPr lang="en-US" sz="1100"/>
        </a:p>
      </xdr:txBody>
    </xdr:sp>
    <xdr:clientData/>
  </xdr:twoCellAnchor>
  <xdr:twoCellAnchor>
    <xdr:from>
      <xdr:col>13</xdr:col>
      <xdr:colOff>400050</xdr:colOff>
      <xdr:row>1</xdr:row>
      <xdr:rowOff>76199</xdr:rowOff>
    </xdr:from>
    <xdr:to>
      <xdr:col>20</xdr:col>
      <xdr:colOff>380999</xdr:colOff>
      <xdr:row>15</xdr:row>
      <xdr:rowOff>133350</xdr:rowOff>
    </xdr:to>
    <xdr:sp macro="" textlink="">
      <xdr:nvSpPr>
        <xdr:cNvPr id="4" name="Rectangle: Rounded Corners 3">
          <a:extLst>
            <a:ext uri="{FF2B5EF4-FFF2-40B4-BE49-F238E27FC236}">
              <a16:creationId xmlns:a16="http://schemas.microsoft.com/office/drawing/2014/main" id="{6669F89E-CF49-5086-70F7-923E20394812}"/>
            </a:ext>
          </a:extLst>
        </xdr:cNvPr>
        <xdr:cNvSpPr/>
      </xdr:nvSpPr>
      <xdr:spPr>
        <a:xfrm>
          <a:off x="8324850" y="266699"/>
          <a:ext cx="4248149" cy="2724151"/>
        </a:xfrm>
        <a:prstGeom prst="roundRect">
          <a:avLst>
            <a:gd name="adj" fmla="val 777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BB</a:t>
          </a:r>
        </a:p>
        <a:p>
          <a:pPr algn="l"/>
          <a:r>
            <a:rPr lang="en-US" b="0"/>
            <a:t>Anne Larsen is solely responsible for all revenue generated from Company BB, contributing $43,713.</a:t>
          </a:r>
        </a:p>
        <a:p>
          <a:pPr algn="l"/>
          <a:r>
            <a:rPr lang="en-US" b="0"/>
            <a:t>Company</a:t>
          </a:r>
          <a:r>
            <a:rPr lang="en-US" b="0" baseline="0"/>
            <a:t> BB is from the southern region.</a:t>
          </a:r>
          <a:endParaRPr lang="en-US" b="0"/>
        </a:p>
        <a:p>
          <a:r>
            <a:rPr lang="en-US" b="0"/>
            <a:t>Company BB demonstrates a clear preference for beverages Followed by Canned Meat and Soups and shipping fees</a:t>
          </a:r>
        </a:p>
        <a:p>
          <a:r>
            <a:rPr lang="en-US" b="0"/>
            <a:t>Company BB exhibits seasonal and irregular purchasing cycles, with revenue accelerating significantly in the later months of the year.The peak month was October.</a:t>
          </a:r>
        </a:p>
        <a:p>
          <a:pPr algn="l"/>
          <a:endParaRPr lang="en-US" sz="1100" b="1" u="sng"/>
        </a:p>
      </xdr:txBody>
    </xdr:sp>
    <xdr:clientData/>
  </xdr:twoCellAnchor>
  <xdr:twoCellAnchor>
    <xdr:from>
      <xdr:col>0</xdr:col>
      <xdr:colOff>200024</xdr:colOff>
      <xdr:row>1</xdr:row>
      <xdr:rowOff>19050</xdr:rowOff>
    </xdr:from>
    <xdr:to>
      <xdr:col>6</xdr:col>
      <xdr:colOff>342899</xdr:colOff>
      <xdr:row>15</xdr:row>
      <xdr:rowOff>133350</xdr:rowOff>
    </xdr:to>
    <xdr:sp macro="" textlink="">
      <xdr:nvSpPr>
        <xdr:cNvPr id="5" name="Rectangle: Rounded Corners 4">
          <a:extLst>
            <a:ext uri="{FF2B5EF4-FFF2-40B4-BE49-F238E27FC236}">
              <a16:creationId xmlns:a16="http://schemas.microsoft.com/office/drawing/2014/main" id="{EB210A30-18CA-D827-CD1E-97C94951EF0D}"/>
            </a:ext>
          </a:extLst>
        </xdr:cNvPr>
        <xdr:cNvSpPr/>
      </xdr:nvSpPr>
      <xdr:spPr>
        <a:xfrm>
          <a:off x="200024" y="209550"/>
          <a:ext cx="3800475" cy="2781300"/>
        </a:xfrm>
        <a:prstGeom prst="roundRect">
          <a:avLst>
            <a:gd name="adj" fmla="val 777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D</a:t>
          </a:r>
        </a:p>
        <a:p>
          <a:r>
            <a:rPr lang="en-US" b="0" u="none"/>
            <a:t>Company D generated approximately $67,180.50 in revenue, making it the</a:t>
          </a:r>
          <a:r>
            <a:rPr lang="en-US" b="0" u="none" baseline="0"/>
            <a:t> Top</a:t>
          </a:r>
          <a:r>
            <a:rPr lang="en-US" b="0" u="none"/>
            <a:t> customers who generated the highest revenue.</a:t>
          </a:r>
        </a:p>
        <a:p>
          <a:r>
            <a:rPr lang="en-US" b="0" u="none"/>
            <a:t>Company</a:t>
          </a:r>
          <a:r>
            <a:rPr lang="en-US" b="0" u="none" baseline="0"/>
            <a:t> D is from the </a:t>
          </a:r>
          <a:r>
            <a:rPr lang="en-US" b="0" u="none"/>
            <a:t> East region .</a:t>
          </a:r>
        </a:p>
        <a:p>
          <a:r>
            <a:rPr lang="en-US" b="0" u="none"/>
            <a:t>Andrew Cencini is solely responsible for this account’s sales.</a:t>
          </a:r>
        </a:p>
        <a:p>
          <a:r>
            <a:rPr lang="en-US" b="0" u="none"/>
            <a:t>Revenue contribution by product category is heavily dominated by Jams &amp; Preserves,follow</a:t>
          </a:r>
          <a:r>
            <a:rPr lang="en-US" b="0" u="none" baseline="0"/>
            <a:t> by dried fruits&amp; nuts,pasta</a:t>
          </a:r>
          <a:r>
            <a:rPr lang="en-US" b="0" u="none"/>
            <a:t>, grains and baked goods &amp; mixes.</a:t>
          </a:r>
        </a:p>
        <a:p>
          <a:r>
            <a:rPr lang="en-US" b="0" u="none"/>
            <a:t>The monthly sales trend shows major peaks in June and December, with noticeable fluctuations in other months</a:t>
          </a:r>
          <a:r>
            <a:rPr lang="en-US"/>
            <a:t>.</a:t>
          </a:r>
        </a:p>
        <a:p>
          <a:pPr algn="l"/>
          <a:endParaRPr lang="en-US" sz="1100"/>
        </a:p>
      </xdr:txBody>
    </xdr:sp>
    <xdr:clientData/>
  </xdr:twoCellAnchor>
  <xdr:twoCellAnchor>
    <xdr:from>
      <xdr:col>13</xdr:col>
      <xdr:colOff>209549</xdr:colOff>
      <xdr:row>16</xdr:row>
      <xdr:rowOff>76200</xdr:rowOff>
    </xdr:from>
    <xdr:to>
      <xdr:col>20</xdr:col>
      <xdr:colOff>114300</xdr:colOff>
      <xdr:row>30</xdr:row>
      <xdr:rowOff>161926</xdr:rowOff>
    </xdr:to>
    <xdr:sp macro="" textlink="">
      <xdr:nvSpPr>
        <xdr:cNvPr id="6" name="Rectangle: Rounded Corners 5">
          <a:extLst>
            <a:ext uri="{FF2B5EF4-FFF2-40B4-BE49-F238E27FC236}">
              <a16:creationId xmlns:a16="http://schemas.microsoft.com/office/drawing/2014/main" id="{45E05757-F4E9-15C0-F35B-F269DC275D6B}"/>
            </a:ext>
          </a:extLst>
        </xdr:cNvPr>
        <xdr:cNvSpPr/>
      </xdr:nvSpPr>
      <xdr:spPr>
        <a:xfrm>
          <a:off x="8134349" y="3124200"/>
          <a:ext cx="4171951" cy="2752726"/>
        </a:xfrm>
        <a:prstGeom prst="roundRect">
          <a:avLst>
            <a:gd name="adj" fmla="val 777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 C</a:t>
          </a:r>
        </a:p>
        <a:p>
          <a:r>
            <a:rPr lang="en-US" b="0"/>
            <a:t>Company C generated approximately $27,005.38 in total revenue.</a:t>
          </a:r>
        </a:p>
        <a:p>
          <a:r>
            <a:rPr lang="en-US" b="0"/>
            <a:t>Company</a:t>
          </a:r>
          <a:r>
            <a:rPr lang="en-US" b="0" baseline="0"/>
            <a:t> C is from the west region</a:t>
          </a:r>
          <a:r>
            <a:rPr lang="en-US" b="0"/>
            <a:t>.</a:t>
          </a:r>
        </a:p>
        <a:p>
          <a:r>
            <a:rPr lang="en-US" b="0"/>
            <a:t>Mariya Sergienko is the sole salesperson responsible for Company C’s revenue.</a:t>
          </a:r>
        </a:p>
        <a:p>
          <a:r>
            <a:rPr lang="en-US" b="0"/>
            <a:t>Revenue is heavily driven by sauces, with significantly smaller contributions from condiments and soups, while beverages contribute minimally.</a:t>
          </a:r>
        </a:p>
        <a:p>
          <a:r>
            <a:rPr lang="en-US" b="0"/>
            <a:t>The monthly trend shows peak sales around May and September, followed by a slight dip toward November.</a:t>
          </a:r>
        </a:p>
        <a:p>
          <a:pPr algn="l"/>
          <a:endParaRPr lang="en-US"/>
        </a:p>
      </xdr:txBody>
    </xdr:sp>
    <xdr:clientData/>
  </xdr:twoCellAnchor>
  <xdr:twoCellAnchor>
    <xdr:from>
      <xdr:col>6</xdr:col>
      <xdr:colOff>504824</xdr:colOff>
      <xdr:row>16</xdr:row>
      <xdr:rowOff>57150</xdr:rowOff>
    </xdr:from>
    <xdr:to>
      <xdr:col>13</xdr:col>
      <xdr:colOff>38099</xdr:colOff>
      <xdr:row>30</xdr:row>
      <xdr:rowOff>104775</xdr:rowOff>
    </xdr:to>
    <xdr:sp macro="" textlink="">
      <xdr:nvSpPr>
        <xdr:cNvPr id="7" name="Rectangle: Rounded Corners 6">
          <a:extLst>
            <a:ext uri="{FF2B5EF4-FFF2-40B4-BE49-F238E27FC236}">
              <a16:creationId xmlns:a16="http://schemas.microsoft.com/office/drawing/2014/main" id="{706452A7-1B11-1245-F88D-2332F4292839}"/>
            </a:ext>
          </a:extLst>
        </xdr:cNvPr>
        <xdr:cNvSpPr/>
      </xdr:nvSpPr>
      <xdr:spPr>
        <a:xfrm>
          <a:off x="4162424" y="3105150"/>
          <a:ext cx="3800475" cy="2714625"/>
        </a:xfrm>
        <a:prstGeom prst="roundRect">
          <a:avLst>
            <a:gd name="adj" fmla="val 777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u="sng"/>
            <a:t>OBSERVATION</a:t>
          </a:r>
        </a:p>
        <a:p>
          <a:r>
            <a:rPr lang="en-US" b="1" u="sng"/>
            <a:t>Company</a:t>
          </a:r>
          <a:r>
            <a:rPr lang="en-US" b="1" u="sng" baseline="0"/>
            <a:t> k</a:t>
          </a:r>
        </a:p>
        <a:p>
          <a:r>
            <a:rPr lang="en-US" b="0"/>
            <a:t>Company K generated approximately $21,937.08 in total revenue.</a:t>
          </a:r>
        </a:p>
        <a:p>
          <a:r>
            <a:rPr lang="en-US" b="0"/>
            <a:t>Company</a:t>
          </a:r>
          <a:r>
            <a:rPr lang="en-US" b="0" baseline="0"/>
            <a:t> K is from the southern region.</a:t>
          </a:r>
          <a:endParaRPr lang="en-US" b="0"/>
        </a:p>
        <a:p>
          <a:r>
            <a:rPr lang="en-US" b="0"/>
            <a:t>Revenue from this customer is managed solely by Anne Larsen.</a:t>
          </a:r>
        </a:p>
        <a:p>
          <a:r>
            <a:rPr lang="en-US" b="0"/>
            <a:t>The Sauces category contributes the largest share of revenue by a wide margin, while beverages and dried fruits &amp; nuts contribute minimally, revealing a strong dependence on one product category.</a:t>
          </a:r>
        </a:p>
        <a:p>
          <a:r>
            <a:rPr lang="en-US" b="0"/>
            <a:t>The sales trend shows significant fluctuations, with peaks around July and November, and lower performance in April and August.</a:t>
          </a:r>
        </a:p>
        <a:p>
          <a:endParaRPr lang="en-US"/>
        </a:p>
      </xdr:txBody>
    </xdr:sp>
    <xdr:clientData/>
  </xdr:twoCellAnchor>
  <xdr:twoCellAnchor>
    <xdr:from>
      <xdr:col>6</xdr:col>
      <xdr:colOff>419100</xdr:colOff>
      <xdr:row>1</xdr:row>
      <xdr:rowOff>66674</xdr:rowOff>
    </xdr:from>
    <xdr:to>
      <xdr:col>13</xdr:col>
      <xdr:colOff>228599</xdr:colOff>
      <xdr:row>15</xdr:row>
      <xdr:rowOff>180975</xdr:rowOff>
    </xdr:to>
    <xdr:sp macro="" textlink="">
      <xdr:nvSpPr>
        <xdr:cNvPr id="9" name="Rectangle: Rounded Corners 8">
          <a:extLst>
            <a:ext uri="{FF2B5EF4-FFF2-40B4-BE49-F238E27FC236}">
              <a16:creationId xmlns:a16="http://schemas.microsoft.com/office/drawing/2014/main" id="{B4E453B9-98E2-2DC9-4273-06F8F26B14C4}"/>
            </a:ext>
          </a:extLst>
        </xdr:cNvPr>
        <xdr:cNvSpPr/>
      </xdr:nvSpPr>
      <xdr:spPr>
        <a:xfrm>
          <a:off x="4076700" y="257174"/>
          <a:ext cx="4076699" cy="2781301"/>
        </a:xfrm>
        <a:prstGeom prst="roundRect">
          <a:avLst>
            <a:gd name="adj" fmla="val 824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H</a:t>
          </a:r>
        </a:p>
        <a:p>
          <a:r>
            <a:rPr lang="en-US" b="0" u="none"/>
            <a:t>Company H generated approximately $50,208.35 in revenue, making it one of the stronger-performing customers in terms of total sales contribution.</a:t>
          </a:r>
        </a:p>
        <a:p>
          <a:r>
            <a:rPr lang="en-US" b="0" u="none"/>
            <a:t>Company</a:t>
          </a:r>
          <a:r>
            <a:rPr lang="en-US" b="0" u="none" baseline="0"/>
            <a:t> H </a:t>
          </a:r>
          <a:r>
            <a:rPr lang="en-US" b="0" u="none"/>
            <a:t>comes from the North region </a:t>
          </a:r>
        </a:p>
        <a:p>
          <a:r>
            <a:rPr lang="en-US" b="0" u="none"/>
            <a:t>Sales for Company H are handled solely by Nancy Freehafer.</a:t>
          </a:r>
        </a:p>
        <a:p>
          <a:r>
            <a:rPr lang="en-US" b="0" u="none"/>
            <a:t>Product category analysis shows that Sauces and Dairy Products are main</a:t>
          </a:r>
          <a:r>
            <a:rPr lang="en-US" b="0" u="none" baseline="0"/>
            <a:t> product of company H</a:t>
          </a:r>
          <a:r>
            <a:rPr lang="en-US" b="0" u="none"/>
            <a:t>, while</a:t>
          </a:r>
          <a:r>
            <a:rPr lang="en-US" b="0" u="none" baseline="0"/>
            <a:t> having minimaal interest in </a:t>
          </a:r>
          <a:r>
            <a:rPr lang="en-US" b="0" u="none"/>
            <a:t>candy, baked goods, and shipping fees.</a:t>
          </a:r>
        </a:p>
        <a:p>
          <a:r>
            <a:rPr lang="en-US" b="0" u="none"/>
            <a:t>The sales trend indicates strong peaks in March, October, and December, with a noticeable dip in November.</a:t>
          </a:r>
        </a:p>
        <a:p>
          <a:pPr algn="l"/>
          <a:endParaRPr lang="en-US" sz="1100"/>
        </a:p>
      </xdr:txBody>
    </xdr:sp>
    <xdr:clientData/>
  </xdr:twoCellAnchor>
  <xdr:twoCellAnchor>
    <xdr:from>
      <xdr:col>27</xdr:col>
      <xdr:colOff>352426</xdr:colOff>
      <xdr:row>1</xdr:row>
      <xdr:rowOff>1</xdr:rowOff>
    </xdr:from>
    <xdr:to>
      <xdr:col>33</xdr:col>
      <xdr:colOff>466726</xdr:colOff>
      <xdr:row>15</xdr:row>
      <xdr:rowOff>57151</xdr:rowOff>
    </xdr:to>
    <xdr:sp macro="" textlink="">
      <xdr:nvSpPr>
        <xdr:cNvPr id="10" name="Rectangle: Rounded Corners 9">
          <a:extLst>
            <a:ext uri="{FF2B5EF4-FFF2-40B4-BE49-F238E27FC236}">
              <a16:creationId xmlns:a16="http://schemas.microsoft.com/office/drawing/2014/main" id="{7296100C-6DC4-A2C1-37AB-3ECEA8BC009E}"/>
            </a:ext>
          </a:extLst>
        </xdr:cNvPr>
        <xdr:cNvSpPr/>
      </xdr:nvSpPr>
      <xdr:spPr>
        <a:xfrm>
          <a:off x="16811626" y="190501"/>
          <a:ext cx="3771900" cy="2724150"/>
        </a:xfrm>
        <a:prstGeom prst="roundRect">
          <a:avLst>
            <a:gd name="adj" fmla="val 824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I</a:t>
          </a:r>
        </a:p>
        <a:p>
          <a:r>
            <a:rPr lang="en-US" b="0"/>
            <a:t>Company I generated approximately $32,530.60 in total revenue.</a:t>
          </a:r>
        </a:p>
        <a:p>
          <a:r>
            <a:rPr lang="en-US" b="0"/>
            <a:t>Company</a:t>
          </a:r>
          <a:r>
            <a:rPr lang="en-US" b="0" baseline="0"/>
            <a:t> I is from the </a:t>
          </a:r>
          <a:r>
            <a:rPr lang="en-US" b="0"/>
            <a:t>West region.</a:t>
          </a:r>
        </a:p>
        <a:p>
          <a:r>
            <a:rPr lang="en-US" b="0"/>
            <a:t>Sales for Company I are managed solely by Robert Zare.</a:t>
          </a:r>
        </a:p>
        <a:p>
          <a:r>
            <a:rPr lang="en-US" b="0"/>
            <a:t>Revenue by product category shows Dairy Products as the highest contributor, followed by Pasta, while Soups contribute the least, indicating a concentration in specific product lines.</a:t>
          </a:r>
        </a:p>
        <a:p>
          <a:r>
            <a:rPr lang="en-US" b="0"/>
            <a:t>The sales trend fluctuates, with peaks in May and October and lower sales in February,march and August.</a:t>
          </a:r>
        </a:p>
        <a:p>
          <a:pPr algn="l"/>
          <a:endParaRPr lang="en-US" sz="1100"/>
        </a:p>
      </xdr:txBody>
    </xdr:sp>
    <xdr:clientData/>
  </xdr:twoCellAnchor>
  <xdr:twoCellAnchor>
    <xdr:from>
      <xdr:col>20</xdr:col>
      <xdr:colOff>190500</xdr:colOff>
      <xdr:row>16</xdr:row>
      <xdr:rowOff>123825</xdr:rowOff>
    </xdr:from>
    <xdr:to>
      <xdr:col>27</xdr:col>
      <xdr:colOff>95251</xdr:colOff>
      <xdr:row>30</xdr:row>
      <xdr:rowOff>161925</xdr:rowOff>
    </xdr:to>
    <xdr:sp macro="" textlink="">
      <xdr:nvSpPr>
        <xdr:cNvPr id="11" name="Rectangle: Rounded Corners 10">
          <a:extLst>
            <a:ext uri="{FF2B5EF4-FFF2-40B4-BE49-F238E27FC236}">
              <a16:creationId xmlns:a16="http://schemas.microsoft.com/office/drawing/2014/main" id="{8BDB773F-E5F5-88FD-E302-F5E788B6EC22}"/>
            </a:ext>
          </a:extLst>
        </xdr:cNvPr>
        <xdr:cNvSpPr/>
      </xdr:nvSpPr>
      <xdr:spPr>
        <a:xfrm>
          <a:off x="12382500" y="3171825"/>
          <a:ext cx="4171951" cy="2705100"/>
        </a:xfrm>
        <a:prstGeom prst="roundRect">
          <a:avLst>
            <a:gd name="adj" fmla="val 824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 J</a:t>
          </a:r>
        </a:p>
        <a:p>
          <a:r>
            <a:rPr lang="en-US" b="0"/>
            <a:t>Company J generated approximately $29,133.01 in total revenue.</a:t>
          </a:r>
        </a:p>
        <a:p>
          <a:r>
            <a:rPr lang="en-US" b="0"/>
            <a:t>Company J</a:t>
          </a:r>
          <a:r>
            <a:rPr lang="en-US" b="0" baseline="0"/>
            <a:t> is from the </a:t>
          </a:r>
          <a:r>
            <a:rPr lang="en-US" b="0"/>
            <a:t>East region.</a:t>
          </a:r>
        </a:p>
        <a:p>
          <a:r>
            <a:rPr lang="en-US" b="0"/>
            <a:t>Sales for this company are managed solely by Laura Giussani.</a:t>
          </a:r>
        </a:p>
        <a:p>
          <a:r>
            <a:rPr lang="en-US" b="0"/>
            <a:t>Revenue by product category shows Condiments and Jams &amp; Preserves as the highest contributors, while beverages generate the least revenue.</a:t>
          </a:r>
        </a:p>
        <a:p>
          <a:r>
            <a:rPr lang="en-US" b="0"/>
            <a:t>The yearly sales trend reveals fluctuating performance with peaks in June, August, and December.</a:t>
          </a:r>
        </a:p>
        <a:p>
          <a:pPr algn="l"/>
          <a:endParaRPr lang="en-US" sz="1100"/>
        </a:p>
      </xdr:txBody>
    </xdr:sp>
    <xdr:clientData/>
  </xdr:twoCellAnchor>
  <xdr:twoCellAnchor>
    <xdr:from>
      <xdr:col>27</xdr:col>
      <xdr:colOff>314325</xdr:colOff>
      <xdr:row>16</xdr:row>
      <xdr:rowOff>133351</xdr:rowOff>
    </xdr:from>
    <xdr:to>
      <xdr:col>34</xdr:col>
      <xdr:colOff>600075</xdr:colOff>
      <xdr:row>30</xdr:row>
      <xdr:rowOff>114300</xdr:rowOff>
    </xdr:to>
    <xdr:sp macro="" textlink="">
      <xdr:nvSpPr>
        <xdr:cNvPr id="12" name="Rectangle: Rounded Corners 11">
          <a:extLst>
            <a:ext uri="{FF2B5EF4-FFF2-40B4-BE49-F238E27FC236}">
              <a16:creationId xmlns:a16="http://schemas.microsoft.com/office/drawing/2014/main" id="{1BD17CB1-1035-481D-D6A0-C7CD340FFF3E}"/>
            </a:ext>
          </a:extLst>
        </xdr:cNvPr>
        <xdr:cNvSpPr/>
      </xdr:nvSpPr>
      <xdr:spPr>
        <a:xfrm>
          <a:off x="16773525" y="3181351"/>
          <a:ext cx="4552950" cy="2647949"/>
        </a:xfrm>
        <a:prstGeom prst="roundRect">
          <a:avLst>
            <a:gd name="adj" fmla="val 933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 Z</a:t>
          </a:r>
        </a:p>
        <a:p>
          <a:r>
            <a:rPr lang="en-US" b="0"/>
            <a:t>Company Z generated approximately $28,208.25 in total revenue.</a:t>
          </a:r>
        </a:p>
        <a:p>
          <a:r>
            <a:rPr lang="en-US" b="0"/>
            <a:t>Company</a:t>
          </a:r>
          <a:r>
            <a:rPr lang="en-US" b="0" baseline="0"/>
            <a:t> Z is from the</a:t>
          </a:r>
          <a:r>
            <a:rPr lang="en-US" b="0"/>
            <a:t> South region.</a:t>
          </a:r>
        </a:p>
        <a:p>
          <a:r>
            <a:rPr lang="en-US" b="0"/>
            <a:t>Sales for Company Z are handled entirely by Anne Larsen.</a:t>
          </a:r>
        </a:p>
        <a:p>
          <a:r>
            <a:rPr lang="en-US" b="0"/>
            <a:t>Product category analysis shows that Oil and Canned Meat are the major revenue drivers, with soups contributing moderately and jams &amp; preserves generating the least revenue.</a:t>
          </a:r>
        </a:p>
        <a:p>
          <a:r>
            <a:rPr lang="en-US" b="0"/>
            <a:t>The yearly sales trend demonstrates fluctuations with strong peaks in March and December, while febuary and October records a noticeable decline,with</a:t>
          </a:r>
          <a:r>
            <a:rPr lang="en-US" b="0" baseline="0"/>
            <a:t> no record of sales in the month of january and april.</a:t>
          </a:r>
          <a:endParaRPr lang="en-US" b="0"/>
        </a:p>
        <a:p>
          <a:pPr algn="l"/>
          <a:endParaRPr lang="en-US" sz="1100"/>
        </a:p>
      </xdr:txBody>
    </xdr:sp>
    <xdr:clientData/>
  </xdr:twoCellAnchor>
  <xdr:twoCellAnchor>
    <xdr:from>
      <xdr:col>20</xdr:col>
      <xdr:colOff>609599</xdr:colOff>
      <xdr:row>0</xdr:row>
      <xdr:rowOff>180974</xdr:rowOff>
    </xdr:from>
    <xdr:to>
      <xdr:col>27</xdr:col>
      <xdr:colOff>180974</xdr:colOff>
      <xdr:row>15</xdr:row>
      <xdr:rowOff>85725</xdr:rowOff>
    </xdr:to>
    <xdr:sp macro="" textlink="">
      <xdr:nvSpPr>
        <xdr:cNvPr id="13" name="Rectangle: Rounded Corners 12">
          <a:extLst>
            <a:ext uri="{FF2B5EF4-FFF2-40B4-BE49-F238E27FC236}">
              <a16:creationId xmlns:a16="http://schemas.microsoft.com/office/drawing/2014/main" id="{BBA447FE-028D-FD0D-83A8-1AB2F7C2D684}"/>
            </a:ext>
          </a:extLst>
        </xdr:cNvPr>
        <xdr:cNvSpPr/>
      </xdr:nvSpPr>
      <xdr:spPr>
        <a:xfrm>
          <a:off x="12801599" y="180974"/>
          <a:ext cx="3838575" cy="2762251"/>
        </a:xfrm>
        <a:prstGeom prst="roundRect">
          <a:avLst>
            <a:gd name="adj" fmla="val 779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 F</a:t>
          </a:r>
        </a:p>
        <a:p>
          <a:r>
            <a:rPr lang="en-US" b="0"/>
            <a:t>Company F generated approximately $37,428.00 in total revenue.</a:t>
          </a:r>
        </a:p>
        <a:p>
          <a:r>
            <a:rPr lang="en-US" b="0"/>
            <a:t>Company</a:t>
          </a:r>
          <a:r>
            <a:rPr lang="en-US" b="0" baseline="0"/>
            <a:t> F is from the north region.</a:t>
          </a:r>
          <a:endParaRPr lang="en-US" b="0"/>
        </a:p>
        <a:p>
          <a:r>
            <a:rPr lang="en-US" b="0"/>
            <a:t>Sales for Company F are managed solely by Michael Neipper.</a:t>
          </a:r>
        </a:p>
        <a:p>
          <a:r>
            <a:rPr lang="en-US" b="0"/>
            <a:t>Revenue distribution across product categories shows Beverages and Sauces as the leading contributors, closely followed by candy and dried fruits &amp; nuts, indicating a relatively balanced product mix compared to other companies.</a:t>
          </a:r>
        </a:p>
        <a:p>
          <a:r>
            <a:rPr lang="en-US" b="0"/>
            <a:t>The monthly sales trend reveals significant fluctuations, with major peaks in</a:t>
          </a:r>
          <a:r>
            <a:rPr lang="en-US" b="0" baseline="0"/>
            <a:t> october and a significant dip in the following month(November)</a:t>
          </a:r>
          <a:endParaRPr lang="en-US" b="0"/>
        </a:p>
        <a:p>
          <a:pPr algn="l"/>
          <a:endParaRPr lang="en-US" sz="1100"/>
        </a:p>
      </xdr:txBody>
    </xdr:sp>
    <xdr:clientData/>
  </xdr:twoCellAnchor>
  <xdr:twoCellAnchor>
    <xdr:from>
      <xdr:col>0</xdr:col>
      <xdr:colOff>85725</xdr:colOff>
      <xdr:row>45</xdr:row>
      <xdr:rowOff>19048</xdr:rowOff>
    </xdr:from>
    <xdr:to>
      <xdr:col>20</xdr:col>
      <xdr:colOff>85724</xdr:colOff>
      <xdr:row>74</xdr:row>
      <xdr:rowOff>95249</xdr:rowOff>
    </xdr:to>
    <xdr:sp macro="" textlink="">
      <xdr:nvSpPr>
        <xdr:cNvPr id="14" name="Rectangle: Rounded Corners 13">
          <a:extLst>
            <a:ext uri="{FF2B5EF4-FFF2-40B4-BE49-F238E27FC236}">
              <a16:creationId xmlns:a16="http://schemas.microsoft.com/office/drawing/2014/main" id="{7238D823-250F-6BE8-36C9-73E71F5B24B0}"/>
            </a:ext>
          </a:extLst>
        </xdr:cNvPr>
        <xdr:cNvSpPr/>
      </xdr:nvSpPr>
      <xdr:spPr>
        <a:xfrm>
          <a:off x="85725" y="8591548"/>
          <a:ext cx="12191999" cy="5600701"/>
        </a:xfrm>
        <a:prstGeom prst="roundRect">
          <a:avLst>
            <a:gd name="adj" fmla="val 9770"/>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INSIGHTS</a:t>
          </a:r>
          <a:endParaRPr lang="en-US" b="1" u="sng"/>
        </a:p>
        <a:p>
          <a:r>
            <a:rPr lang="en-US" b="1" u="sng"/>
            <a:t>Dependence on Individual Salespersons</a:t>
          </a:r>
          <a:br>
            <a:rPr lang="en-US"/>
          </a:br>
          <a:r>
            <a:rPr lang="en-US" b="0" u="none"/>
            <a:t>Each company’s revenue is handled primarily by one salesperson, showing strong individual performance but creating operational risk if performance drops or staff changes occur</a:t>
          </a:r>
          <a:r>
            <a:rPr lang="en-US"/>
            <a:t>.</a:t>
          </a:r>
        </a:p>
        <a:p>
          <a:r>
            <a:rPr lang="en-US" b="1" u="sng"/>
            <a:t>Product Category Concentration</a:t>
          </a:r>
          <a:br>
            <a:rPr lang="en-US"/>
          </a:br>
          <a:r>
            <a:rPr lang="en-US"/>
            <a:t>S</a:t>
          </a:r>
          <a:r>
            <a:rPr lang="en-US" b="0"/>
            <a:t>everal customers(company) rely heavily on one or two key product categories (such as sauces, dairy products, beverages, or condiments), while other product lines contribute minimally</a:t>
          </a:r>
          <a:r>
            <a:rPr lang="en-US"/>
            <a:t>.</a:t>
          </a:r>
        </a:p>
        <a:p>
          <a:r>
            <a:rPr lang="en-US" b="1" u="sng"/>
            <a:t>Seasonal Sales Patterns</a:t>
          </a:r>
          <a:br>
            <a:rPr lang="en-US"/>
          </a:br>
          <a:r>
            <a:rPr lang="en-US" b="0" u="none"/>
            <a:t>Sales trends across companies show consistent peaks around mid-year and year-end (June–December), suggesting strong seasonal demand .</a:t>
          </a:r>
        </a:p>
        <a:p>
          <a:endParaRPr lang="en-US"/>
        </a:p>
        <a:p>
          <a:r>
            <a:rPr lang="en-US" b="1" u="sng"/>
            <a:t> RECOMMENDATION</a:t>
          </a:r>
          <a:endParaRPr lang="en-US"/>
        </a:p>
        <a:p>
          <a:r>
            <a:rPr lang="en-US" b="1" u="sng"/>
            <a:t>Reduce Salesperson Dependency</a:t>
          </a:r>
          <a:br>
            <a:rPr lang="en-US"/>
          </a:br>
          <a:r>
            <a:rPr lang="en-US"/>
            <a:t>Assign multiple sales representatives to region</a:t>
          </a:r>
          <a:r>
            <a:rPr lang="en-US" baseline="0"/>
            <a:t> with low salesperson </a:t>
          </a:r>
          <a:r>
            <a:rPr lang="en-US"/>
            <a:t>and implement team-based account management .</a:t>
          </a:r>
        </a:p>
        <a:p>
          <a:r>
            <a:rPr lang="en-US" b="1" u="sng"/>
            <a:t>Leveraging Seasonal Peaks</a:t>
          </a:r>
          <a:br>
            <a:rPr lang="en-US"/>
          </a:br>
          <a:r>
            <a:rPr lang="en-US"/>
            <a:t>Strengthen marketing campaigns and inventory planning ahead of peak months (June–December) to maximize revenue opportunities during high-demand periods.</a:t>
          </a:r>
        </a:p>
        <a:p>
          <a:pPr marL="0" marR="0" lvl="0" indent="0" defTabSz="914400" eaLnBrk="1" fontAlgn="auto" latinLnBrk="0" hangingPunct="1">
            <a:lnSpc>
              <a:spcPct val="100000"/>
            </a:lnSpc>
            <a:spcBef>
              <a:spcPts val="0"/>
            </a:spcBef>
            <a:spcAft>
              <a:spcPts val="0"/>
            </a:spcAft>
            <a:buClrTx/>
            <a:buSzTx/>
            <a:buFontTx/>
            <a:buNone/>
            <a:tabLst/>
            <a:defRPr/>
          </a:pPr>
          <a:r>
            <a:rPr lang="en-US" b="1" u="sng"/>
            <a:t>Customer</a:t>
          </a:r>
          <a:r>
            <a:rPr lang="en-US" b="1" u="sng" baseline="0"/>
            <a:t> Retention</a:t>
          </a:r>
          <a:br>
            <a:rPr lang="en-US"/>
          </a:br>
          <a:r>
            <a:rPr lang="en-US" b="0"/>
            <a:t>Develop loyalty programs and strategic partnerships with top-performing customers to maintain retention and increase lifetime value.</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Promote cross-selling and upselling strategies to encourage customers to purchase from multiple product categories, reducing reliance on one dominant product line.</a:t>
          </a:r>
          <a:endParaRPr lang="en-US" b="0">
            <a:effectLst/>
          </a:endParaRPr>
        </a:p>
        <a:p>
          <a:r>
            <a:rPr lang="en-US" b="0" u="sng"/>
            <a:t>Implement Risk Management Strategy</a:t>
          </a:r>
          <a:br>
            <a:rPr lang="en-US"/>
          </a:br>
          <a:r>
            <a:rPr lang="en-US" b="0"/>
            <a:t>Identify customers, regions, or products with high dependency and create contingency plans to ensure stable revenue if performance declines</a:t>
          </a:r>
        </a:p>
        <a:p>
          <a:endParaRPr lang="en-US"/>
        </a:p>
        <a:p>
          <a:endParaRPr lang="en-US"/>
        </a:p>
        <a:p>
          <a:pPr algn="l"/>
          <a:endParaRPr lang="en-US" sz="1100"/>
        </a:p>
      </xdr:txBody>
    </xdr:sp>
    <xdr:clientData/>
  </xdr:twoCellAnchor>
  <xdr:twoCellAnchor>
    <xdr:from>
      <xdr:col>0</xdr:col>
      <xdr:colOff>95250</xdr:colOff>
      <xdr:row>31</xdr:row>
      <xdr:rowOff>66676</xdr:rowOff>
    </xdr:from>
    <xdr:to>
      <xdr:col>7</xdr:col>
      <xdr:colOff>314325</xdr:colOff>
      <xdr:row>44</xdr:row>
      <xdr:rowOff>142876</xdr:rowOff>
    </xdr:to>
    <xdr:sp macro="" textlink="">
      <xdr:nvSpPr>
        <xdr:cNvPr id="15" name="Rectangle: Rounded Corners 14">
          <a:extLst>
            <a:ext uri="{FF2B5EF4-FFF2-40B4-BE49-F238E27FC236}">
              <a16:creationId xmlns:a16="http://schemas.microsoft.com/office/drawing/2014/main" id="{93E9B131-9F49-11B8-6F37-BD14B132463E}"/>
            </a:ext>
          </a:extLst>
        </xdr:cNvPr>
        <xdr:cNvSpPr/>
      </xdr:nvSpPr>
      <xdr:spPr>
        <a:xfrm>
          <a:off x="95250" y="5972176"/>
          <a:ext cx="4486275" cy="2552700"/>
        </a:xfrm>
        <a:prstGeom prst="roundRect">
          <a:avLst>
            <a:gd name="adj" fmla="val 11070"/>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0BSERVATION</a:t>
          </a:r>
        </a:p>
        <a:p>
          <a:pPr algn="l"/>
          <a:r>
            <a:rPr lang="en-US" sz="1100" u="sng"/>
            <a:t>COMPANY</a:t>
          </a:r>
          <a:r>
            <a:rPr lang="en-US" sz="1100" u="sng" baseline="0"/>
            <a:t>  A,H AND F. - NORTHERN REGION</a:t>
          </a:r>
        </a:p>
        <a:p>
          <a:pPr algn="l"/>
          <a:r>
            <a:rPr lang="en-US" sz="1100" u="none" baseline="0"/>
            <a:t>northern region generates $124,476.34 in total revenue from the three customers</a:t>
          </a:r>
        </a:p>
        <a:p>
          <a:pPr algn="l"/>
          <a:r>
            <a:rPr lang="en-US" sz="1100" b="0" u="none" baseline="0"/>
            <a:t>They are all from the north and sales with this customer are handled by nancy freehafer and micheal neipper.</a:t>
          </a:r>
        </a:p>
        <a:p>
          <a:pPr algn="l"/>
          <a:r>
            <a:rPr lang="en-US" sz="1100" b="0" u="none" baseline="0"/>
            <a:t>beverages and sauces are the most sought after product followed by candy,diary product and dried fruits &amp; nuts</a:t>
          </a:r>
        </a:p>
        <a:p>
          <a:pPr algn="l"/>
          <a:r>
            <a:rPr lang="en-US" sz="1100" b="0" u="none" baseline="0"/>
            <a:t>December was the month with the highest revenue and a noticeable dip in the previous month(November) and lower performance in april</a:t>
          </a:r>
          <a:endParaRPr lang="en-US" sz="1100" b="0" u="none"/>
        </a:p>
      </xdr:txBody>
    </xdr:sp>
    <xdr:clientData/>
  </xdr:twoCellAnchor>
  <xdr:twoCellAnchor>
    <xdr:from>
      <xdr:col>8</xdr:col>
      <xdr:colOff>9525</xdr:colOff>
      <xdr:row>31</xdr:row>
      <xdr:rowOff>171450</xdr:rowOff>
    </xdr:from>
    <xdr:to>
      <xdr:col>14</xdr:col>
      <xdr:colOff>485775</xdr:colOff>
      <xdr:row>44</xdr:row>
      <xdr:rowOff>57150</xdr:rowOff>
    </xdr:to>
    <xdr:sp macro="" textlink="">
      <xdr:nvSpPr>
        <xdr:cNvPr id="16" name="Rectangle: Rounded Corners 15">
          <a:extLst>
            <a:ext uri="{FF2B5EF4-FFF2-40B4-BE49-F238E27FC236}">
              <a16:creationId xmlns:a16="http://schemas.microsoft.com/office/drawing/2014/main" id="{8EA2FBF0-9B6E-6CFA-081C-935504B2FD07}"/>
            </a:ext>
          </a:extLst>
        </xdr:cNvPr>
        <xdr:cNvSpPr/>
      </xdr:nvSpPr>
      <xdr:spPr>
        <a:xfrm>
          <a:off x="4886325" y="6076950"/>
          <a:ext cx="4133850" cy="2362200"/>
        </a:xfrm>
        <a:prstGeom prst="roundRect">
          <a:avLst>
            <a:gd name="adj" fmla="val 9409"/>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K,Z AND BB- SOUTHERN REGION</a:t>
          </a:r>
        </a:p>
        <a:p>
          <a:pPr algn="l"/>
          <a:r>
            <a:rPr lang="en-US" sz="1100" b="0" u="none" baseline="0"/>
            <a:t>This region generates $93,858.33 in total revenue from the three customers</a:t>
          </a:r>
        </a:p>
        <a:p>
          <a:pPr algn="l"/>
          <a:r>
            <a:rPr lang="en-US" sz="1100" baseline="0"/>
            <a:t> Sales from this company is solely handled by anne larsen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Revenue is heavily driven by beverages,closely followed by canned</a:t>
          </a:r>
          <a:r>
            <a:rPr lang="en-US" sz="1100" b="0" baseline="0">
              <a:solidFill>
                <a:schemeClr val="lt1"/>
              </a:solidFill>
              <a:effectLst/>
              <a:latin typeface="+mn-lt"/>
              <a:ea typeface="+mn-ea"/>
              <a:cs typeface="+mn-cs"/>
            </a:rPr>
            <a:t> meats,sauces ,oil and soups</a:t>
          </a:r>
          <a:r>
            <a:rPr lang="en-US" sz="1100" b="0">
              <a:solidFill>
                <a:schemeClr val="lt1"/>
              </a:solidFill>
              <a:effectLst/>
              <a:latin typeface="+mn-lt"/>
              <a:ea typeface="+mn-ea"/>
              <a:cs typeface="+mn-cs"/>
            </a:rPr>
            <a:t> indicating</a:t>
          </a:r>
          <a:r>
            <a:rPr lang="en-US" sz="1100" b="0" baseline="0">
              <a:solidFill>
                <a:schemeClr val="lt1"/>
              </a:solidFill>
              <a:effectLst/>
              <a:latin typeface="+mn-lt"/>
              <a:ea typeface="+mn-ea"/>
              <a:cs typeface="+mn-cs"/>
            </a:rPr>
            <a:t> a</a:t>
          </a:r>
          <a:r>
            <a:rPr lang="en-US" sz="1100" b="0">
              <a:solidFill>
                <a:schemeClr val="lt1"/>
              </a:solidFill>
              <a:effectLst/>
              <a:latin typeface="+mn-lt"/>
              <a:ea typeface="+mn-ea"/>
              <a:cs typeface="+mn-cs"/>
            </a:rPr>
            <a:t> relatively balanced product mix compared to other region.</a:t>
          </a:r>
          <a:endParaRPr lang="en-US">
            <a:effectLst/>
          </a:endParaRPr>
        </a:p>
        <a:p>
          <a:pPr algn="l"/>
          <a:endParaRPr lang="en-US" sz="1100" baseline="0"/>
        </a:p>
      </xdr:txBody>
    </xdr:sp>
    <xdr:clientData/>
  </xdr:twoCellAnchor>
  <xdr:twoCellAnchor>
    <xdr:from>
      <xdr:col>15</xdr:col>
      <xdr:colOff>114300</xdr:colOff>
      <xdr:row>32</xdr:row>
      <xdr:rowOff>28575</xdr:rowOff>
    </xdr:from>
    <xdr:to>
      <xdr:col>21</xdr:col>
      <xdr:colOff>457199</xdr:colOff>
      <xdr:row>43</xdr:row>
      <xdr:rowOff>180975</xdr:rowOff>
    </xdr:to>
    <xdr:sp macro="" textlink="">
      <xdr:nvSpPr>
        <xdr:cNvPr id="17" name="Rectangle: Rounded Corners 16">
          <a:extLst>
            <a:ext uri="{FF2B5EF4-FFF2-40B4-BE49-F238E27FC236}">
              <a16:creationId xmlns:a16="http://schemas.microsoft.com/office/drawing/2014/main" id="{BCCA4F08-64A0-98B7-456B-69B34796925B}"/>
            </a:ext>
          </a:extLst>
        </xdr:cNvPr>
        <xdr:cNvSpPr/>
      </xdr:nvSpPr>
      <xdr:spPr>
        <a:xfrm>
          <a:off x="9258300" y="6124575"/>
          <a:ext cx="4000499" cy="2247900"/>
        </a:xfrm>
        <a:prstGeom prst="roundRect">
          <a:avLst>
            <a:gd name="adj" fmla="val 12430"/>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J AND D - EAST REGION</a:t>
          </a:r>
        </a:p>
        <a:p>
          <a:pPr algn="l"/>
          <a:r>
            <a:rPr lang="en-US" sz="1100" b="0" u="none" baseline="0"/>
            <a:t>The sum of $96,313.51 was generated in total revenue  from both company.</a:t>
          </a:r>
        </a:p>
        <a:p>
          <a:pPr algn="l"/>
          <a:r>
            <a:rPr lang="en-US" sz="1100" b="0" u="none" baseline="0"/>
            <a:t>sales are handled by andrew cencinni and Laura guissani.</a:t>
          </a:r>
        </a:p>
        <a:p>
          <a:pPr algn="l"/>
          <a:r>
            <a:rPr lang="en-US" sz="1100" b="0" u="none"/>
            <a:t>most sought after products is the</a:t>
          </a:r>
          <a:r>
            <a:rPr lang="en-US" sz="1100" b="0" u="none" baseline="0"/>
            <a:t> jam,preserves followed by dried fruits &amp;nuts, condiments,pasta and baked goods&amp; mixes</a:t>
          </a:r>
        </a:p>
        <a:p>
          <a:pPr algn="l"/>
          <a:r>
            <a:rPr lang="en-US" sz="1100" b="0">
              <a:solidFill>
                <a:schemeClr val="lt1"/>
              </a:solidFill>
              <a:effectLst/>
              <a:latin typeface="+mn-lt"/>
              <a:ea typeface="+mn-ea"/>
              <a:cs typeface="+mn-cs"/>
            </a:rPr>
            <a:t>The monthly trend shows peak sales around june and december.</a:t>
          </a:r>
          <a:endParaRPr lang="en-US" sz="1100" b="0" u="none"/>
        </a:p>
      </xdr:txBody>
    </xdr:sp>
    <xdr:clientData/>
  </xdr:twoCellAnchor>
  <xdr:twoCellAnchor>
    <xdr:from>
      <xdr:col>22</xdr:col>
      <xdr:colOff>66674</xdr:colOff>
      <xdr:row>31</xdr:row>
      <xdr:rowOff>180975</xdr:rowOff>
    </xdr:from>
    <xdr:to>
      <xdr:col>27</xdr:col>
      <xdr:colOff>438149</xdr:colOff>
      <xdr:row>44</xdr:row>
      <xdr:rowOff>28575</xdr:rowOff>
    </xdr:to>
    <xdr:sp macro="" textlink="">
      <xdr:nvSpPr>
        <xdr:cNvPr id="18" name="Rectangle: Rounded Corners 17">
          <a:extLst>
            <a:ext uri="{FF2B5EF4-FFF2-40B4-BE49-F238E27FC236}">
              <a16:creationId xmlns:a16="http://schemas.microsoft.com/office/drawing/2014/main" id="{D6B6024C-F0D2-6442-EE35-A631CA47F07E}"/>
            </a:ext>
          </a:extLst>
        </xdr:cNvPr>
        <xdr:cNvSpPr/>
      </xdr:nvSpPr>
      <xdr:spPr>
        <a:xfrm>
          <a:off x="13477874" y="6086475"/>
          <a:ext cx="3419475" cy="2324100"/>
        </a:xfrm>
        <a:prstGeom prst="roundRect">
          <a:avLst>
            <a:gd name="adj" fmla="val 9178"/>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t>OBSERVATION</a:t>
          </a:r>
        </a:p>
        <a:p>
          <a:pPr algn="l"/>
          <a:r>
            <a:rPr lang="en-US" sz="1100" b="1" u="sng"/>
            <a:t>COMPANY</a:t>
          </a:r>
          <a:r>
            <a:rPr lang="en-US" sz="1100" b="1" u="sng" baseline="0"/>
            <a:t> C AND I - WEST REGION</a:t>
          </a:r>
        </a:p>
        <a:p>
          <a:pPr algn="l"/>
          <a:r>
            <a:rPr lang="en-US" sz="1100" b="0" u="none" baseline="0"/>
            <a:t>Generated a total of $59,535.98 in revenue.</a:t>
          </a:r>
        </a:p>
        <a:p>
          <a:pPr algn="l"/>
          <a:r>
            <a:rPr lang="en-US" sz="1100" b="0">
              <a:solidFill>
                <a:schemeClr val="lt1"/>
              </a:solidFill>
              <a:effectLst/>
              <a:latin typeface="+mn-lt"/>
              <a:ea typeface="+mn-ea"/>
              <a:cs typeface="+mn-cs"/>
            </a:rPr>
            <a:t>Sales for this region are managed by robert zare and mariya sergienko</a:t>
          </a:r>
        </a:p>
        <a:p>
          <a:pPr algn="l"/>
          <a:r>
            <a:rPr lang="en-US" sz="1100" b="0" u="none" baseline="0">
              <a:solidFill>
                <a:schemeClr val="lt1"/>
              </a:solidFill>
              <a:effectLst/>
              <a:latin typeface="+mn-lt"/>
              <a:ea typeface="+mn-ea"/>
              <a:cs typeface="+mn-cs"/>
            </a:rPr>
            <a:t>diary product and sauces are the most in demand product in this region followed by pasta,soups and condiments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The sales trend reveals fluctuating performance with peaks in may</a:t>
          </a:r>
          <a:r>
            <a:rPr lang="en-US" sz="1100" b="0" baseline="0">
              <a:solidFill>
                <a:schemeClr val="lt1"/>
              </a:solidFill>
              <a:effectLst/>
              <a:latin typeface="+mn-lt"/>
              <a:ea typeface="+mn-ea"/>
              <a:cs typeface="+mn-cs"/>
            </a:rPr>
            <a:t> and october</a:t>
          </a:r>
          <a:r>
            <a:rPr lang="en-US" sz="1100" b="0">
              <a:solidFill>
                <a:schemeClr val="lt1"/>
              </a:solidFill>
              <a:effectLst/>
              <a:latin typeface="+mn-lt"/>
              <a:ea typeface="+mn-ea"/>
              <a:cs typeface="+mn-cs"/>
            </a:rPr>
            <a:t>.</a:t>
          </a:r>
          <a:endParaRPr lang="en-US">
            <a:effectLst/>
          </a:endParaRPr>
        </a:p>
        <a:p>
          <a:pPr algn="l"/>
          <a:endParaRPr lang="en-US" sz="1100" b="0" u="none" baseline="0"/>
        </a:p>
        <a:p>
          <a:pPr algn="l"/>
          <a:endParaRPr lang="en-US" sz="1100" b="1" u="sng"/>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4.994119212963" createdVersion="5" refreshedVersion="5" minRefreshableVersion="3" recordCount="369" xr:uid="{00000000-000A-0000-FFFF-FFFF03000000}">
  <cacheSource type="worksheet">
    <worksheetSource ref="A1:Z370" sheet="Data (2)"/>
  </cacheSource>
  <cacheFields count="26">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1/1/2014"/>
          <s v="Jan"/>
          <s v="Feb"/>
          <s v="Mar"/>
          <s v="Apr"/>
          <s v="May"/>
          <s v="Jun"/>
          <s v="Jul"/>
          <s v="Aug"/>
          <s v="Sep"/>
          <s v="Oct"/>
          <s v="Nov"/>
          <s v="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ount="1">
        <s v="USA"/>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94078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x v="0"/>
    <s v="Check"/>
    <x v="0"/>
    <x v="0"/>
    <n v="14"/>
    <n v="49"/>
    <x v="0"/>
    <n v="66.542000000000002"/>
  </r>
  <r>
    <n v="1002"/>
    <x v="0"/>
    <n v="27"/>
    <x v="0"/>
    <s v="789 27th Street"/>
    <x v="0"/>
    <x v="0"/>
    <n v="99999"/>
    <s v="USA"/>
    <x v="0"/>
    <x v="0"/>
    <d v="2014-01-29T00:00:00"/>
    <s v="Shipping Company B"/>
    <s v="Karen Toh"/>
    <s v="789 27th Street"/>
    <x v="0"/>
    <s v="NV"/>
    <n v="99999"/>
    <x v="0"/>
    <s v="Check"/>
    <x v="1"/>
    <x v="1"/>
    <n v="3.5"/>
    <n v="47"/>
    <x v="1"/>
    <n v="16.6145"/>
  </r>
  <r>
    <n v="1003"/>
    <x v="1"/>
    <n v="4"/>
    <x v="1"/>
    <s v="123 4th Street"/>
    <x v="1"/>
    <x v="1"/>
    <n v="99999"/>
    <s v="USA"/>
    <x v="1"/>
    <x v="1"/>
    <d v="2014-01-06T00:00:00"/>
    <s v="Shipping Company A"/>
    <s v="Christina Lee"/>
    <s v="123 4th Street"/>
    <x v="1"/>
    <s v="NY"/>
    <n v="99999"/>
    <x v="0"/>
    <s v="Credit Card"/>
    <x v="2"/>
    <x v="1"/>
    <n v="30"/>
    <n v="69"/>
    <x v="2"/>
    <n v="198.72"/>
  </r>
  <r>
    <n v="1004"/>
    <x v="1"/>
    <n v="4"/>
    <x v="1"/>
    <s v="123 4th Street"/>
    <x v="1"/>
    <x v="1"/>
    <n v="99999"/>
    <s v="USA"/>
    <x v="1"/>
    <x v="1"/>
    <d v="2014-01-06T00:00:00"/>
    <s v="Shipping Company A"/>
    <s v="Christina Lee"/>
    <s v="123 4th Street"/>
    <x v="1"/>
    <s v="NY"/>
    <n v="99999"/>
    <x v="0"/>
    <s v="Credit Card"/>
    <x v="3"/>
    <x v="1"/>
    <n v="53"/>
    <n v="89"/>
    <x v="3"/>
    <n v="448.11500000000001"/>
  </r>
  <r>
    <n v="1005"/>
    <x v="1"/>
    <n v="4"/>
    <x v="1"/>
    <s v="123 4th Street"/>
    <x v="1"/>
    <x v="1"/>
    <n v="99999"/>
    <s v="USA"/>
    <x v="1"/>
    <x v="1"/>
    <d v="2014-01-06T00:00:00"/>
    <s v="Shipping Company A"/>
    <s v="Christina Lee"/>
    <s v="123 4th Street"/>
    <x v="1"/>
    <s v="NY"/>
    <n v="99999"/>
    <x v="0"/>
    <s v="Credit Card"/>
    <x v="1"/>
    <x v="1"/>
    <n v="3.5"/>
    <n v="11"/>
    <x v="4"/>
    <n v="3.7345000000000002"/>
  </r>
  <r>
    <n v="1006"/>
    <x v="2"/>
    <n v="12"/>
    <x v="2"/>
    <s v="123 12th Street"/>
    <x v="0"/>
    <x v="0"/>
    <n v="99999"/>
    <s v="USA"/>
    <x v="0"/>
    <x v="0"/>
    <d v="2014-01-14T00:00:00"/>
    <s v="Shipping Company B"/>
    <s v="John Edwards"/>
    <s v="123 12th Street"/>
    <x v="0"/>
    <s v="NV"/>
    <n v="99999"/>
    <x v="0"/>
    <s v="Credit Card"/>
    <x v="4"/>
    <x v="0"/>
    <n v="18"/>
    <n v="81"/>
    <x v="5"/>
    <n v="141.42600000000002"/>
  </r>
  <r>
    <n v="1007"/>
    <x v="2"/>
    <n v="12"/>
    <x v="2"/>
    <s v="123 12th Street"/>
    <x v="0"/>
    <x v="0"/>
    <n v="99999"/>
    <s v="USA"/>
    <x v="0"/>
    <x v="0"/>
    <d v="2014-01-14T00:00:00"/>
    <s v="Shipping Company B"/>
    <s v="John Edwards"/>
    <s v="123 12th Street"/>
    <x v="0"/>
    <s v="NV"/>
    <n v="99999"/>
    <x v="0"/>
    <s v="Credit Card"/>
    <x v="5"/>
    <x v="0"/>
    <n v="46"/>
    <n v="44"/>
    <x v="6"/>
    <n v="198.352"/>
  </r>
  <r>
    <n v="1008"/>
    <x v="3"/>
    <n v="8"/>
    <x v="3"/>
    <s v="123 8th Street"/>
    <x v="2"/>
    <x v="2"/>
    <n v="99999"/>
    <s v="USA"/>
    <x v="2"/>
    <x v="2"/>
    <d v="2014-01-10T00:00:00"/>
    <s v="Shipping Company C"/>
    <s v="Elizabeth Andersen"/>
    <s v="123 8th Street"/>
    <x v="2"/>
    <s v="OR"/>
    <n v="99999"/>
    <x v="0"/>
    <s v="Credit Card"/>
    <x v="6"/>
    <x v="2"/>
    <n v="9.1999999999999993"/>
    <n v="38"/>
    <x v="7"/>
    <n v="36.008800000000001"/>
  </r>
  <r>
    <n v="1009"/>
    <x v="1"/>
    <n v="4"/>
    <x v="1"/>
    <s v="123 4th Street"/>
    <x v="1"/>
    <x v="1"/>
    <n v="99999"/>
    <s v="USA"/>
    <x v="1"/>
    <x v="1"/>
    <d v="2014-01-06T00:00:00"/>
    <s v="Shipping Company C"/>
    <s v="Christina Lee"/>
    <s v="123 4th Street"/>
    <x v="1"/>
    <s v="NY"/>
    <n v="99999"/>
    <x v="0"/>
    <s v="Check"/>
    <x v="6"/>
    <x v="2"/>
    <n v="9.1999999999999993"/>
    <n v="88"/>
    <x v="8"/>
    <n v="79.340799999999987"/>
  </r>
  <r>
    <n v="1010"/>
    <x v="4"/>
    <n v="29"/>
    <x v="4"/>
    <s v="789 29th Street"/>
    <x v="3"/>
    <x v="3"/>
    <n v="99999"/>
    <s v="USA"/>
    <x v="3"/>
    <x v="0"/>
    <d v="2014-01-31T00:00:00"/>
    <s v="Shipping Company B"/>
    <s v="Soo Jung Lee"/>
    <s v="789 29th Street"/>
    <x v="3"/>
    <s v="CO"/>
    <n v="99999"/>
    <x v="0"/>
    <s v="Check"/>
    <x v="7"/>
    <x v="3"/>
    <n v="12.75"/>
    <n v="94"/>
    <x v="9"/>
    <n v="122.24700000000001"/>
  </r>
  <r>
    <n v="1011"/>
    <x v="5"/>
    <n v="3"/>
    <x v="5"/>
    <s v="123 3rd Street"/>
    <x v="4"/>
    <x v="4"/>
    <n v="99999"/>
    <s v="USA"/>
    <x v="0"/>
    <x v="0"/>
    <d v="2014-01-05T00:00:00"/>
    <s v="Shipping Company B"/>
    <s v="Thomas Axerr"/>
    <s v="123 3rd Street"/>
    <x v="4"/>
    <s v="CA"/>
    <n v="99999"/>
    <x v="0"/>
    <s v="Cash"/>
    <x v="8"/>
    <x v="4"/>
    <n v="9.65"/>
    <n v="91"/>
    <x v="10"/>
    <n v="92.205749999999995"/>
  </r>
  <r>
    <n v="1012"/>
    <x v="6"/>
    <n v="6"/>
    <x v="6"/>
    <s v="123 6th Street"/>
    <x v="5"/>
    <x v="5"/>
    <n v="99999"/>
    <s v="USA"/>
    <x v="4"/>
    <x v="2"/>
    <d v="2014-01-08T00:00:00"/>
    <s v="Shipping Company B"/>
    <s v="Francisco Pérez-Olaeta"/>
    <s v="123 6th Street"/>
    <x v="5"/>
    <s v="WI"/>
    <n v="99999"/>
    <x v="0"/>
    <s v="Credit Card"/>
    <x v="9"/>
    <x v="5"/>
    <n v="40"/>
    <n v="32"/>
    <x v="11"/>
    <n v="133.12"/>
  </r>
  <r>
    <n v="1013"/>
    <x v="7"/>
    <n v="28"/>
    <x v="7"/>
    <s v="789 28th Street"/>
    <x v="6"/>
    <x v="6"/>
    <n v="99999"/>
    <s v="USA"/>
    <x v="5"/>
    <x v="3"/>
    <d v="2014-01-30T00:00:00"/>
    <s v="Shipping Company C"/>
    <s v="Amritansh Raghav"/>
    <s v="789 28th Street"/>
    <x v="6"/>
    <s v="TN"/>
    <n v="99999"/>
    <x v="0"/>
    <s v="Check"/>
    <x v="5"/>
    <x v="0"/>
    <n v="46"/>
    <n v="55"/>
    <x v="12"/>
    <n v="253"/>
  </r>
  <r>
    <n v="1014"/>
    <x v="3"/>
    <n v="8"/>
    <x v="3"/>
    <s v="123 8th Street"/>
    <x v="2"/>
    <x v="2"/>
    <n v="99999"/>
    <s v="USA"/>
    <x v="2"/>
    <x v="2"/>
    <d v="2014-01-10T00:00:00"/>
    <s v="Shipping Company C"/>
    <s v="Elizabeth Andersen"/>
    <s v="123 8th Street"/>
    <x v="2"/>
    <s v="OR"/>
    <n v="99999"/>
    <x v="0"/>
    <s v="Check"/>
    <x v="7"/>
    <x v="3"/>
    <n v="12.75"/>
    <n v="47"/>
    <x v="13"/>
    <n v="61.722750000000005"/>
  </r>
  <r>
    <n v="1015"/>
    <x v="8"/>
    <n v="10"/>
    <x v="8"/>
    <s v="123 10th Street"/>
    <x v="7"/>
    <x v="7"/>
    <n v="99999"/>
    <s v="USA"/>
    <x v="6"/>
    <x v="1"/>
    <d v="2014-01-12T00:00:00"/>
    <s v="Shipping Company B"/>
    <s v="Roland Wacker"/>
    <s v="123 10th Street"/>
    <x v="7"/>
    <s v="IL"/>
    <n v="99999"/>
    <x v="0"/>
    <s v="Credit Card"/>
    <x v="10"/>
    <x v="0"/>
    <n v="2.99"/>
    <n v="90"/>
    <x v="14"/>
    <n v="27.717300000000005"/>
  </r>
  <r>
    <n v="1016"/>
    <x v="9"/>
    <n v="7"/>
    <x v="9"/>
    <s v="123 7th Street"/>
    <x v="8"/>
    <x v="8"/>
    <n v="99999"/>
    <s v="USA"/>
    <x v="2"/>
    <x v="2"/>
    <m/>
    <m/>
    <s v="Ming-Yang Xie"/>
    <s v="123 7th Street"/>
    <x v="8"/>
    <s v="ID"/>
    <n v="99999"/>
    <x v="0"/>
    <m/>
    <x v="5"/>
    <x v="0"/>
    <n v="46"/>
    <n v="24"/>
    <x v="15"/>
    <n v="110.4"/>
  </r>
  <r>
    <n v="1017"/>
    <x v="8"/>
    <n v="10"/>
    <x v="8"/>
    <s v="123 10th Street"/>
    <x v="7"/>
    <x v="7"/>
    <n v="99999"/>
    <s v="USA"/>
    <x v="6"/>
    <x v="1"/>
    <d v="2014-01-12T00:00:00"/>
    <s v="Shipping Company A"/>
    <s v="Roland Wacker"/>
    <s v="123 10th Street"/>
    <x v="7"/>
    <s v="IL"/>
    <n v="99999"/>
    <x v="0"/>
    <m/>
    <x v="11"/>
    <x v="6"/>
    <n v="25"/>
    <n v="34"/>
    <x v="16"/>
    <n v="80.75"/>
  </r>
  <r>
    <n v="1018"/>
    <x v="8"/>
    <n v="10"/>
    <x v="8"/>
    <s v="123 10th Street"/>
    <x v="7"/>
    <x v="7"/>
    <n v="99999"/>
    <s v="USA"/>
    <x v="6"/>
    <x v="1"/>
    <d v="2014-01-12T00:00:00"/>
    <s v="Shipping Company A"/>
    <s v="Roland Wacker"/>
    <s v="123 10th Street"/>
    <x v="7"/>
    <s v="IL"/>
    <n v="99999"/>
    <x v="0"/>
    <m/>
    <x v="12"/>
    <x v="7"/>
    <n v="22"/>
    <n v="17"/>
    <x v="17"/>
    <n v="35.903999999999996"/>
  </r>
  <r>
    <n v="1019"/>
    <x v="8"/>
    <n v="10"/>
    <x v="8"/>
    <s v="123 10th Street"/>
    <x v="7"/>
    <x v="7"/>
    <n v="99999"/>
    <s v="USA"/>
    <x v="6"/>
    <x v="1"/>
    <d v="2014-01-12T00:00:00"/>
    <s v="Shipping Company A"/>
    <s v="Roland Wacker"/>
    <s v="123 10th Street"/>
    <x v="7"/>
    <s v="IL"/>
    <n v="99999"/>
    <x v="0"/>
    <m/>
    <x v="6"/>
    <x v="2"/>
    <n v="9.1999999999999993"/>
    <n v="44"/>
    <x v="18"/>
    <n v="42.099199999999996"/>
  </r>
  <r>
    <n v="1020"/>
    <x v="10"/>
    <n v="11"/>
    <x v="10"/>
    <s v="123 11th Street"/>
    <x v="9"/>
    <x v="9"/>
    <n v="99999"/>
    <s v="USA"/>
    <x v="5"/>
    <x v="3"/>
    <m/>
    <s v="Shipping Company C"/>
    <s v="Peter Krschne"/>
    <s v="123 11th Street"/>
    <x v="9"/>
    <s v="FL"/>
    <n v="99999"/>
    <x v="0"/>
    <m/>
    <x v="1"/>
    <x v="1"/>
    <n v="3.5"/>
    <n v="81"/>
    <x v="19"/>
    <n v="27.499500000000001"/>
  </r>
  <r>
    <n v="1021"/>
    <x v="10"/>
    <n v="11"/>
    <x v="10"/>
    <s v="123 11th Street"/>
    <x v="9"/>
    <x v="9"/>
    <n v="99999"/>
    <s v="USA"/>
    <x v="5"/>
    <x v="3"/>
    <m/>
    <s v="Shipping Company C"/>
    <s v="Peter Krschne"/>
    <s v="123 11th Street"/>
    <x v="9"/>
    <s v="FL"/>
    <n v="99999"/>
    <x v="0"/>
    <m/>
    <x v="10"/>
    <x v="0"/>
    <n v="2.99"/>
    <n v="49"/>
    <x v="20"/>
    <n v="15.090530000000005"/>
  </r>
  <r>
    <n v="1022"/>
    <x v="11"/>
    <n v="1"/>
    <x v="11"/>
    <s v="123 1st Street"/>
    <x v="10"/>
    <x v="10"/>
    <n v="99999"/>
    <s v="USA"/>
    <x v="2"/>
    <x v="2"/>
    <m/>
    <m/>
    <s v="Anna Bedecs"/>
    <s v="123 1st Street"/>
    <x v="10"/>
    <s v="WA"/>
    <n v="99999"/>
    <x v="0"/>
    <m/>
    <x v="4"/>
    <x v="0"/>
    <n v="18"/>
    <n v="42"/>
    <x v="21"/>
    <n v="75.600000000000009"/>
  </r>
  <r>
    <n v="1023"/>
    <x v="11"/>
    <n v="1"/>
    <x v="11"/>
    <s v="123 1st Street"/>
    <x v="10"/>
    <x v="10"/>
    <n v="99999"/>
    <s v="USA"/>
    <x v="2"/>
    <x v="2"/>
    <m/>
    <m/>
    <s v="Anna Bedecs"/>
    <s v="123 1st Street"/>
    <x v="10"/>
    <s v="WA"/>
    <n v="99999"/>
    <x v="0"/>
    <m/>
    <x v="5"/>
    <x v="0"/>
    <n v="46"/>
    <n v="58"/>
    <x v="22"/>
    <n v="269.46800000000002"/>
  </r>
  <r>
    <n v="1024"/>
    <x v="11"/>
    <n v="1"/>
    <x v="11"/>
    <s v="123 1st Street"/>
    <x v="10"/>
    <x v="10"/>
    <n v="99999"/>
    <s v="USA"/>
    <x v="2"/>
    <x v="2"/>
    <m/>
    <m/>
    <s v="Anna Bedecs"/>
    <s v="123 1st Street"/>
    <x v="10"/>
    <s v="WA"/>
    <n v="99999"/>
    <x v="0"/>
    <m/>
    <x v="10"/>
    <x v="0"/>
    <n v="2.99"/>
    <n v="67"/>
    <x v="23"/>
    <n v="20.033000000000001"/>
  </r>
  <r>
    <n v="1025"/>
    <x v="7"/>
    <n v="28"/>
    <x v="7"/>
    <s v="789 28th Street"/>
    <x v="6"/>
    <x v="6"/>
    <n v="99999"/>
    <s v="USA"/>
    <x v="5"/>
    <x v="3"/>
    <d v="2014-01-30T00:00:00"/>
    <s v="Shipping Company C"/>
    <s v="Amritansh Raghav"/>
    <s v="789 28th Street"/>
    <x v="6"/>
    <s v="TN"/>
    <n v="99999"/>
    <x v="0"/>
    <s v="Credit Card"/>
    <x v="8"/>
    <x v="4"/>
    <n v="9.65"/>
    <n v="100"/>
    <x v="24"/>
    <n v="93.605000000000004"/>
  </r>
  <r>
    <n v="1026"/>
    <x v="7"/>
    <n v="28"/>
    <x v="7"/>
    <s v="789 28th Street"/>
    <x v="6"/>
    <x v="6"/>
    <n v="99999"/>
    <s v="USA"/>
    <x v="5"/>
    <x v="3"/>
    <d v="2014-01-30T00:00:00"/>
    <s v="Shipping Company C"/>
    <s v="Amritansh Raghav"/>
    <s v="789 28th Street"/>
    <x v="6"/>
    <s v="TN"/>
    <n v="99999"/>
    <x v="0"/>
    <s v="Credit Card"/>
    <x v="13"/>
    <x v="8"/>
    <n v="18.399999999999999"/>
    <n v="63"/>
    <x v="25"/>
    <n v="114.76079999999999"/>
  </r>
  <r>
    <n v="1027"/>
    <x v="12"/>
    <n v="9"/>
    <x v="12"/>
    <s v="123 9th Street"/>
    <x v="11"/>
    <x v="11"/>
    <n v="99999"/>
    <s v="USA"/>
    <x v="7"/>
    <x v="0"/>
    <d v="2014-01-11T00:00:00"/>
    <s v="Shipping Company A"/>
    <s v="Sven Mortensen"/>
    <s v="123 9th Street"/>
    <x v="11"/>
    <s v="UT"/>
    <n v="99999"/>
    <x v="0"/>
    <s v="Check"/>
    <x v="14"/>
    <x v="9"/>
    <n v="19.5"/>
    <n v="57"/>
    <x v="26"/>
    <n v="110.0385"/>
  </r>
  <r>
    <n v="1028"/>
    <x v="12"/>
    <n v="9"/>
    <x v="12"/>
    <s v="123 9th Street"/>
    <x v="11"/>
    <x v="11"/>
    <n v="99999"/>
    <s v="USA"/>
    <x v="7"/>
    <x v="0"/>
    <d v="2014-01-11T00:00:00"/>
    <s v="Shipping Company A"/>
    <s v="Sven Mortensen"/>
    <s v="123 9th Street"/>
    <x v="11"/>
    <s v="UT"/>
    <n v="99999"/>
    <x v="0"/>
    <s v="Check"/>
    <x v="15"/>
    <x v="10"/>
    <n v="34.799999999999997"/>
    <n v="81"/>
    <x v="27"/>
    <n v="295.97399999999999"/>
  </r>
  <r>
    <n v="1029"/>
    <x v="6"/>
    <n v="6"/>
    <x v="6"/>
    <s v="123 6th Street"/>
    <x v="5"/>
    <x v="5"/>
    <n v="99999"/>
    <s v="USA"/>
    <x v="4"/>
    <x v="2"/>
    <d v="2014-01-08T00:00:00"/>
    <s v="Shipping Company B"/>
    <s v="Francisco Pérez-Olaeta"/>
    <s v="123 6th Street"/>
    <x v="5"/>
    <s v="WI"/>
    <n v="99999"/>
    <x v="0"/>
    <s v="Credit Card"/>
    <x v="0"/>
    <x v="0"/>
    <n v="14"/>
    <n v="71"/>
    <x v="28"/>
    <n v="95.424000000000007"/>
  </r>
  <r>
    <n v="1030"/>
    <x v="13"/>
    <n v="8"/>
    <x v="3"/>
    <s v="123 8th Street"/>
    <x v="2"/>
    <x v="2"/>
    <n v="99999"/>
    <s v="USA"/>
    <x v="2"/>
    <x v="2"/>
    <d v="2014-02-10T00:00:00"/>
    <s v="Shipping Company B"/>
    <s v="Elizabeth Andersen"/>
    <s v="123 8th Street"/>
    <x v="2"/>
    <s v="OR"/>
    <n v="99999"/>
    <x v="0"/>
    <s v="Check"/>
    <x v="9"/>
    <x v="5"/>
    <n v="40"/>
    <n v="32"/>
    <x v="11"/>
    <n v="129.28"/>
  </r>
  <r>
    <n v="1031"/>
    <x v="14"/>
    <n v="3"/>
    <x v="5"/>
    <s v="123 3rd Street"/>
    <x v="4"/>
    <x v="4"/>
    <n v="99999"/>
    <s v="USA"/>
    <x v="0"/>
    <x v="0"/>
    <d v="2014-02-05T00:00:00"/>
    <s v="Shipping Company B"/>
    <s v="Thomas Axerr"/>
    <s v="123 3rd Street"/>
    <x v="4"/>
    <s v="CA"/>
    <n v="99999"/>
    <x v="0"/>
    <s v="Cash"/>
    <x v="16"/>
    <x v="7"/>
    <n v="10"/>
    <n v="63"/>
    <x v="29"/>
    <n v="65.52"/>
  </r>
  <r>
    <n v="1032"/>
    <x v="14"/>
    <n v="3"/>
    <x v="5"/>
    <s v="123 3rd Street"/>
    <x v="4"/>
    <x v="4"/>
    <n v="99999"/>
    <s v="USA"/>
    <x v="0"/>
    <x v="0"/>
    <d v="2014-02-05T00:00:00"/>
    <s v="Shipping Company B"/>
    <s v="Thomas Axerr"/>
    <s v="123 3rd Street"/>
    <x v="4"/>
    <s v="CA"/>
    <n v="99999"/>
    <x v="0"/>
    <s v="Cash"/>
    <x v="9"/>
    <x v="5"/>
    <n v="40"/>
    <n v="30"/>
    <x v="30"/>
    <n v="120"/>
  </r>
  <r>
    <n v="1033"/>
    <x v="15"/>
    <n v="6"/>
    <x v="6"/>
    <s v="123 6th Street"/>
    <x v="5"/>
    <x v="5"/>
    <n v="99999"/>
    <s v="USA"/>
    <x v="4"/>
    <x v="2"/>
    <d v="2014-02-08T00:00:00"/>
    <s v="Shipping Company B"/>
    <s v="Francisco Pérez-Olaeta"/>
    <s v="123 6th Street"/>
    <x v="5"/>
    <s v="WI"/>
    <n v="99999"/>
    <x v="0"/>
    <s v="Credit Card"/>
    <x v="17"/>
    <x v="11"/>
    <m/>
    <m/>
    <x v="31"/>
    <n v="43"/>
  </r>
  <r>
    <n v="1034"/>
    <x v="16"/>
    <n v="28"/>
    <x v="7"/>
    <s v="789 28th Street"/>
    <x v="6"/>
    <x v="6"/>
    <n v="99999"/>
    <s v="USA"/>
    <x v="5"/>
    <x v="3"/>
    <d v="2014-03-02T00:00:00"/>
    <s v="Shipping Company C"/>
    <s v="Amritansh Raghav"/>
    <s v="789 28th Street"/>
    <x v="6"/>
    <s v="TN"/>
    <n v="99999"/>
    <x v="0"/>
    <s v="Check"/>
    <x v="17"/>
    <x v="11"/>
    <m/>
    <m/>
    <x v="31"/>
    <n v="31"/>
  </r>
  <r>
    <n v="1035"/>
    <x v="13"/>
    <n v="8"/>
    <x v="3"/>
    <s v="123 8th Street"/>
    <x v="2"/>
    <x v="2"/>
    <n v="99999"/>
    <s v="USA"/>
    <x v="2"/>
    <x v="2"/>
    <d v="2014-02-10T00:00:00"/>
    <s v="Shipping Company C"/>
    <s v="Elizabeth Andersen"/>
    <s v="123 8th Street"/>
    <x v="2"/>
    <s v="OR"/>
    <n v="99999"/>
    <x v="0"/>
    <s v="Check"/>
    <x v="17"/>
    <x v="11"/>
    <m/>
    <m/>
    <x v="31"/>
    <n v="46"/>
  </r>
  <r>
    <n v="1036"/>
    <x v="17"/>
    <n v="10"/>
    <x v="8"/>
    <s v="123 10th Street"/>
    <x v="7"/>
    <x v="7"/>
    <n v="99999"/>
    <s v="USA"/>
    <x v="6"/>
    <x v="1"/>
    <d v="2014-02-12T00:00:00"/>
    <s v="Shipping Company B"/>
    <s v="Roland Wacker"/>
    <s v="123 10th Street"/>
    <x v="7"/>
    <s v="IL"/>
    <n v="99999"/>
    <x v="0"/>
    <s v="Credit Card"/>
    <x v="18"/>
    <x v="1"/>
    <n v="10"/>
    <n v="47"/>
    <x v="32"/>
    <n v="48.88"/>
  </r>
  <r>
    <n v="1038"/>
    <x v="17"/>
    <n v="10"/>
    <x v="8"/>
    <s v="123 10th Street"/>
    <x v="7"/>
    <x v="7"/>
    <n v="99999"/>
    <s v="USA"/>
    <x v="6"/>
    <x v="1"/>
    <m/>
    <s v="Shipping Company A"/>
    <s v="Roland Wacker"/>
    <s v="123 10th Street"/>
    <x v="7"/>
    <s v="IL"/>
    <n v="99999"/>
    <x v="0"/>
    <m/>
    <x v="1"/>
    <x v="1"/>
    <n v="3.5"/>
    <n v="49"/>
    <x v="33"/>
    <n v="16.464000000000002"/>
  </r>
  <r>
    <n v="1039"/>
    <x v="18"/>
    <n v="11"/>
    <x v="10"/>
    <s v="123 11th Street"/>
    <x v="9"/>
    <x v="9"/>
    <n v="99999"/>
    <s v="USA"/>
    <x v="5"/>
    <x v="3"/>
    <m/>
    <s v="Shipping Company C"/>
    <s v="Peter Krschne"/>
    <s v="123 11th Street"/>
    <x v="9"/>
    <s v="FL"/>
    <n v="99999"/>
    <x v="0"/>
    <m/>
    <x v="9"/>
    <x v="5"/>
    <n v="40"/>
    <n v="72"/>
    <x v="34"/>
    <n v="285.12"/>
  </r>
  <r>
    <n v="1040"/>
    <x v="19"/>
    <n v="1"/>
    <x v="11"/>
    <s v="123 1st Street"/>
    <x v="10"/>
    <x v="10"/>
    <n v="99999"/>
    <s v="USA"/>
    <x v="2"/>
    <x v="2"/>
    <m/>
    <s v="Shipping Company C"/>
    <s v="Anna Bedecs"/>
    <s v="123 1st Street"/>
    <x v="10"/>
    <s v="WA"/>
    <n v="99999"/>
    <x v="0"/>
    <m/>
    <x v="13"/>
    <x v="8"/>
    <n v="18.399999999999999"/>
    <n v="13"/>
    <x v="35"/>
    <n v="23.680800000000001"/>
  </r>
  <r>
    <n v="1041"/>
    <x v="16"/>
    <n v="28"/>
    <x v="7"/>
    <s v="789 28th Street"/>
    <x v="6"/>
    <x v="6"/>
    <n v="99999"/>
    <s v="USA"/>
    <x v="5"/>
    <x v="3"/>
    <n v="41700"/>
    <s v="Shipping Company C"/>
    <s v="Amritansh Raghav"/>
    <s v="789 28th Street"/>
    <x v="6"/>
    <s v="TN"/>
    <n v="99999"/>
    <x v="0"/>
    <s v="Credit Card"/>
    <x v="5"/>
    <x v="0"/>
    <n v="46"/>
    <n v="32"/>
    <x v="36"/>
    <n v="148.67200000000003"/>
  </r>
  <r>
    <n v="1042"/>
    <x v="20"/>
    <n v="9"/>
    <x v="12"/>
    <s v="123 9th Street"/>
    <x v="11"/>
    <x v="11"/>
    <n v="99999"/>
    <s v="USA"/>
    <x v="7"/>
    <x v="0"/>
    <d v="2014-02-11T00:00:00"/>
    <s v="Shipping Company A"/>
    <s v="Sven Mortensen"/>
    <s v="123 9th Street"/>
    <x v="11"/>
    <s v="UT"/>
    <n v="99999"/>
    <x v="0"/>
    <s v="Check"/>
    <x v="8"/>
    <x v="4"/>
    <n v="9.65"/>
    <n v="27"/>
    <x v="37"/>
    <n v="24.752250000000004"/>
  </r>
  <r>
    <n v="1043"/>
    <x v="15"/>
    <n v="6"/>
    <x v="6"/>
    <s v="123 6th Street"/>
    <x v="5"/>
    <x v="5"/>
    <n v="99999"/>
    <s v="USA"/>
    <x v="4"/>
    <x v="2"/>
    <d v="2014-02-08T00:00:00"/>
    <s v="Shipping Company B"/>
    <s v="Francisco Pérez-Olaeta"/>
    <s v="123 6th Street"/>
    <x v="5"/>
    <s v="WI"/>
    <n v="99999"/>
    <x v="0"/>
    <s v="Credit Card"/>
    <x v="7"/>
    <x v="3"/>
    <n v="12.75"/>
    <n v="71"/>
    <x v="38"/>
    <n v="91.430250000000001"/>
  </r>
  <r>
    <n v="1044"/>
    <x v="13"/>
    <n v="8"/>
    <x v="3"/>
    <s v="123 8th Street"/>
    <x v="2"/>
    <x v="2"/>
    <n v="99999"/>
    <s v="USA"/>
    <x v="2"/>
    <x v="2"/>
    <d v="2014-02-10T00:00:00"/>
    <s v="Shipping Company B"/>
    <s v="Elizabeth Andersen"/>
    <s v="123 8th Street"/>
    <x v="2"/>
    <s v="OR"/>
    <n v="99999"/>
    <x v="0"/>
    <s v="Check"/>
    <x v="7"/>
    <x v="3"/>
    <n v="12.75"/>
    <n v="13"/>
    <x v="39"/>
    <n v="15.746249999999998"/>
  </r>
  <r>
    <n v="1045"/>
    <x v="21"/>
    <n v="25"/>
    <x v="13"/>
    <s v="789 25th Street"/>
    <x v="7"/>
    <x v="7"/>
    <n v="99999"/>
    <s v="USA"/>
    <x v="6"/>
    <x v="1"/>
    <d v="2014-02-27T00:00:00"/>
    <s v="Shipping Company A"/>
    <s v="John Rodman"/>
    <s v="789 25th Street"/>
    <x v="7"/>
    <s v="IL"/>
    <n v="99999"/>
    <x v="0"/>
    <s v="Cash"/>
    <x v="12"/>
    <x v="7"/>
    <n v="22"/>
    <n v="98"/>
    <x v="40"/>
    <n v="204.82000000000002"/>
  </r>
  <r>
    <n v="1046"/>
    <x v="22"/>
    <n v="26"/>
    <x v="14"/>
    <s v="789 26th Street"/>
    <x v="9"/>
    <x v="9"/>
    <n v="99999"/>
    <s v="USA"/>
    <x v="5"/>
    <x v="3"/>
    <d v="2014-02-28T00:00:00"/>
    <s v="Shipping Company C"/>
    <s v="Run Liu"/>
    <s v="789 26th Street"/>
    <x v="9"/>
    <s v="FL"/>
    <n v="99999"/>
    <x v="0"/>
    <s v="Credit Card"/>
    <x v="11"/>
    <x v="6"/>
    <n v="25"/>
    <n v="21"/>
    <x v="41"/>
    <n v="53.550000000000004"/>
  </r>
  <r>
    <n v="1047"/>
    <x v="23"/>
    <n v="29"/>
    <x v="4"/>
    <s v="789 29th Street"/>
    <x v="3"/>
    <x v="3"/>
    <n v="99999"/>
    <s v="USA"/>
    <x v="3"/>
    <x v="0"/>
    <d v="2014-03-03T00:00:00"/>
    <s v="Shipping Company B"/>
    <s v="Soo Jung Lee"/>
    <s v="789 29th Street"/>
    <x v="3"/>
    <s v="CO"/>
    <n v="99999"/>
    <x v="0"/>
    <s v="Check"/>
    <x v="19"/>
    <x v="12"/>
    <n v="39"/>
    <n v="26"/>
    <x v="42"/>
    <n v="106.47000000000001"/>
  </r>
  <r>
    <n v="1048"/>
    <x v="15"/>
    <n v="6"/>
    <x v="6"/>
    <s v="123 6th Street"/>
    <x v="5"/>
    <x v="5"/>
    <n v="99999"/>
    <s v="USA"/>
    <x v="4"/>
    <x v="2"/>
    <d v="2014-02-08T00:00:00"/>
    <s v="Shipping Company C"/>
    <s v="Francisco Pérez-Olaeta"/>
    <s v="123 6th Street"/>
    <x v="5"/>
    <s v="WI"/>
    <n v="99999"/>
    <x v="0"/>
    <s v="Check"/>
    <x v="2"/>
    <x v="1"/>
    <n v="30"/>
    <n v="96"/>
    <x v="34"/>
    <n v="296.64"/>
  </r>
  <r>
    <n v="1049"/>
    <x v="15"/>
    <n v="6"/>
    <x v="6"/>
    <s v="123 6th Street"/>
    <x v="5"/>
    <x v="5"/>
    <n v="99999"/>
    <s v="USA"/>
    <x v="4"/>
    <x v="2"/>
    <d v="2014-02-08T00:00:00"/>
    <s v="Shipping Company C"/>
    <s v="Francisco Pérez-Olaeta"/>
    <s v="123 6th Street"/>
    <x v="5"/>
    <s v="WI"/>
    <n v="99999"/>
    <x v="0"/>
    <s v="Check"/>
    <x v="3"/>
    <x v="1"/>
    <n v="53"/>
    <n v="16"/>
    <x v="43"/>
    <n v="88.192000000000021"/>
  </r>
  <r>
    <n v="1050"/>
    <x v="24"/>
    <n v="4"/>
    <x v="1"/>
    <s v="123 4th Street"/>
    <x v="1"/>
    <x v="1"/>
    <n v="99999"/>
    <s v="USA"/>
    <x v="1"/>
    <x v="1"/>
    <m/>
    <m/>
    <s v="Christina Lee"/>
    <s v="123 4th Street"/>
    <x v="1"/>
    <s v="NY"/>
    <n v="99999"/>
    <x v="0"/>
    <m/>
    <x v="20"/>
    <x v="9"/>
    <n v="38"/>
    <n v="96"/>
    <x v="44"/>
    <n v="346.56"/>
  </r>
  <r>
    <n v="1051"/>
    <x v="14"/>
    <n v="3"/>
    <x v="5"/>
    <s v="123 3rd Street"/>
    <x v="4"/>
    <x v="4"/>
    <n v="99999"/>
    <s v="USA"/>
    <x v="0"/>
    <x v="0"/>
    <m/>
    <m/>
    <s v="Thomas Axerr"/>
    <s v="123 3rd Street"/>
    <x v="4"/>
    <s v="CA"/>
    <n v="99999"/>
    <x v="0"/>
    <m/>
    <x v="10"/>
    <x v="0"/>
    <n v="2.99"/>
    <n v="75"/>
    <x v="45"/>
    <n v="23.097750000000005"/>
  </r>
  <r>
    <n v="1052"/>
    <x v="25"/>
    <n v="9"/>
    <x v="12"/>
    <s v="123 9th Street"/>
    <x v="11"/>
    <x v="11"/>
    <n v="99999"/>
    <s v="USA"/>
    <x v="7"/>
    <x v="0"/>
    <n v="41709"/>
    <s v="Shipping Company A"/>
    <s v="Sven Mortensen"/>
    <s v="123 9th Street"/>
    <x v="11"/>
    <s v="UT"/>
    <n v="99999"/>
    <x v="0"/>
    <s v="Check"/>
    <x v="14"/>
    <x v="9"/>
    <n v="19.5"/>
    <n v="55"/>
    <x v="46"/>
    <n v="108.32250000000001"/>
  </r>
  <r>
    <n v="1053"/>
    <x v="25"/>
    <n v="9"/>
    <x v="12"/>
    <s v="123 9th Street"/>
    <x v="11"/>
    <x v="11"/>
    <n v="99999"/>
    <s v="USA"/>
    <x v="7"/>
    <x v="0"/>
    <d v="2014-03-11T00:00:00"/>
    <s v="Shipping Company A"/>
    <s v="Sven Mortensen"/>
    <s v="123 9th Street"/>
    <x v="11"/>
    <s v="UT"/>
    <n v="99999"/>
    <x v="0"/>
    <s v="Check"/>
    <x v="15"/>
    <x v="10"/>
    <n v="34.799999999999997"/>
    <n v="11"/>
    <x v="47"/>
    <n v="36.748799999999996"/>
  </r>
  <r>
    <n v="1054"/>
    <x v="26"/>
    <n v="6"/>
    <x v="6"/>
    <s v="123 6th Street"/>
    <x v="5"/>
    <x v="5"/>
    <n v="99999"/>
    <s v="USA"/>
    <x v="4"/>
    <x v="2"/>
    <d v="2014-03-08T00:00:00"/>
    <s v="Shipping Company B"/>
    <s v="Francisco Pérez-Olaeta"/>
    <s v="123 6th Street"/>
    <x v="5"/>
    <s v="WI"/>
    <n v="99999"/>
    <x v="0"/>
    <s v="Credit Card"/>
    <x v="0"/>
    <x v="0"/>
    <n v="14"/>
    <n v="53"/>
    <x v="48"/>
    <n v="71.974000000000004"/>
  </r>
  <r>
    <n v="1055"/>
    <x v="27"/>
    <n v="8"/>
    <x v="3"/>
    <s v="123 8th Street"/>
    <x v="2"/>
    <x v="2"/>
    <n v="99999"/>
    <s v="USA"/>
    <x v="2"/>
    <x v="2"/>
    <d v="2014-03-10T00:00:00"/>
    <s v="Shipping Company B"/>
    <s v="Elizabeth Andersen"/>
    <s v="123 8th Street"/>
    <x v="2"/>
    <s v="OR"/>
    <n v="99999"/>
    <x v="0"/>
    <s v="Check"/>
    <x v="9"/>
    <x v="5"/>
    <n v="40"/>
    <n v="85"/>
    <x v="49"/>
    <n v="357"/>
  </r>
  <r>
    <n v="1056"/>
    <x v="27"/>
    <n v="8"/>
    <x v="3"/>
    <s v="123 8th Street"/>
    <x v="2"/>
    <x v="2"/>
    <n v="99999"/>
    <s v="USA"/>
    <x v="2"/>
    <x v="2"/>
    <d v="2014-03-10T00:00:00"/>
    <s v="Shipping Company B"/>
    <s v="Elizabeth Andersen"/>
    <s v="123 8th Street"/>
    <x v="2"/>
    <s v="OR"/>
    <n v="99999"/>
    <x v="0"/>
    <s v="Check"/>
    <x v="6"/>
    <x v="2"/>
    <n v="9.1999999999999993"/>
    <n v="97"/>
    <x v="50"/>
    <n v="91.024800000000013"/>
  </r>
  <r>
    <n v="1057"/>
    <x v="28"/>
    <n v="25"/>
    <x v="13"/>
    <s v="789 25th Street"/>
    <x v="7"/>
    <x v="7"/>
    <n v="99999"/>
    <s v="USA"/>
    <x v="6"/>
    <x v="1"/>
    <d v="2014-03-27T00:00:00"/>
    <s v="Shipping Company A"/>
    <s v="John Rodman"/>
    <s v="789 25th Street"/>
    <x v="7"/>
    <s v="IL"/>
    <n v="99999"/>
    <x v="0"/>
    <s v="Cash"/>
    <x v="21"/>
    <x v="2"/>
    <n v="10"/>
    <n v="46"/>
    <x v="51"/>
    <n v="46.46"/>
  </r>
  <r>
    <n v="1058"/>
    <x v="29"/>
    <n v="26"/>
    <x v="14"/>
    <s v="789 26th Street"/>
    <x v="9"/>
    <x v="9"/>
    <n v="99999"/>
    <s v="USA"/>
    <x v="5"/>
    <x v="3"/>
    <d v="2014-03-28T00:00:00"/>
    <s v="Shipping Company C"/>
    <s v="Run Liu"/>
    <s v="789 26th Street"/>
    <x v="9"/>
    <s v="FL"/>
    <n v="99999"/>
    <x v="0"/>
    <s v="Credit Card"/>
    <x v="22"/>
    <x v="13"/>
    <n v="21.35"/>
    <n v="97"/>
    <x v="52"/>
    <n v="196.74025"/>
  </r>
  <r>
    <n v="1059"/>
    <x v="29"/>
    <n v="26"/>
    <x v="14"/>
    <s v="789 26th Street"/>
    <x v="9"/>
    <x v="9"/>
    <n v="99999"/>
    <s v="USA"/>
    <x v="5"/>
    <x v="3"/>
    <d v="2014-03-28T00:00:00"/>
    <s v="Shipping Company C"/>
    <s v="Run Liu"/>
    <s v="789 26th Street"/>
    <x v="9"/>
    <s v="FL"/>
    <n v="99999"/>
    <x v="0"/>
    <s v="Credit Card"/>
    <x v="8"/>
    <x v="4"/>
    <n v="9.65"/>
    <n v="97"/>
    <x v="53"/>
    <n v="95.477100000000021"/>
  </r>
  <r>
    <n v="1060"/>
    <x v="29"/>
    <n v="26"/>
    <x v="14"/>
    <s v="789 26th Street"/>
    <x v="9"/>
    <x v="9"/>
    <n v="99999"/>
    <s v="USA"/>
    <x v="5"/>
    <x v="3"/>
    <d v="2014-03-28T00:00:00"/>
    <s v="Shipping Company C"/>
    <s v="Run Liu"/>
    <s v="789 26th Street"/>
    <x v="9"/>
    <s v="FL"/>
    <n v="99999"/>
    <x v="0"/>
    <s v="Credit Card"/>
    <x v="13"/>
    <x v="8"/>
    <n v="18.399999999999999"/>
    <n v="65"/>
    <x v="54"/>
    <n v="123.18800000000002"/>
  </r>
  <r>
    <n v="1061"/>
    <x v="30"/>
    <n v="29"/>
    <x v="4"/>
    <s v="789 29th Street"/>
    <x v="3"/>
    <x v="3"/>
    <n v="99999"/>
    <s v="USA"/>
    <x v="3"/>
    <x v="0"/>
    <d v="2014-03-31T00:00:00"/>
    <s v="Shipping Company B"/>
    <s v="Soo Jung Lee"/>
    <s v="789 29th Street"/>
    <x v="3"/>
    <s v="CO"/>
    <n v="99999"/>
    <x v="0"/>
    <s v="Check"/>
    <x v="0"/>
    <x v="0"/>
    <n v="14"/>
    <n v="72"/>
    <x v="55"/>
    <n v="100.80000000000001"/>
  </r>
  <r>
    <n v="1062"/>
    <x v="26"/>
    <n v="6"/>
    <x v="6"/>
    <s v="123 6th Street"/>
    <x v="5"/>
    <x v="5"/>
    <n v="99999"/>
    <s v="USA"/>
    <x v="4"/>
    <x v="2"/>
    <d v="2014-03-08T00:00:00"/>
    <s v="Shipping Company C"/>
    <s v="Francisco Pérez-Olaeta"/>
    <s v="123 6th Street"/>
    <x v="5"/>
    <s v="WI"/>
    <n v="99999"/>
    <x v="0"/>
    <s v="Check"/>
    <x v="7"/>
    <x v="3"/>
    <n v="12.75"/>
    <n v="16"/>
    <x v="56"/>
    <n v="20.196000000000002"/>
  </r>
  <r>
    <n v="1064"/>
    <x v="31"/>
    <n v="4"/>
    <x v="1"/>
    <s v="123 4th Street"/>
    <x v="1"/>
    <x v="1"/>
    <n v="99999"/>
    <s v="USA"/>
    <x v="1"/>
    <x v="1"/>
    <d v="2014-03-06T00:00:00"/>
    <s v="Shipping Company A"/>
    <s v="Christina Lee"/>
    <s v="123 4th Street"/>
    <x v="1"/>
    <s v="NY"/>
    <n v="99999"/>
    <x v="0"/>
    <s v="Credit Card"/>
    <x v="23"/>
    <x v="6"/>
    <n v="81"/>
    <n v="77"/>
    <x v="57"/>
    <n v="642.41100000000006"/>
  </r>
  <r>
    <n v="1065"/>
    <x v="31"/>
    <n v="4"/>
    <x v="1"/>
    <s v="123 4th Street"/>
    <x v="1"/>
    <x v="1"/>
    <n v="99999"/>
    <s v="USA"/>
    <x v="1"/>
    <x v="1"/>
    <d v="2014-03-06T00:00:00"/>
    <s v="Shipping Company A"/>
    <s v="Christina Lee"/>
    <s v="123 4th Street"/>
    <x v="1"/>
    <s v="NY"/>
    <n v="99999"/>
    <x v="0"/>
    <s v="Credit Card"/>
    <x v="24"/>
    <x v="14"/>
    <n v="7"/>
    <n v="37"/>
    <x v="58"/>
    <n v="24.605"/>
  </r>
  <r>
    <n v="1067"/>
    <x v="27"/>
    <n v="8"/>
    <x v="3"/>
    <s v="123 8th Street"/>
    <x v="2"/>
    <x v="2"/>
    <n v="99999"/>
    <s v="USA"/>
    <x v="2"/>
    <x v="2"/>
    <d v="2014-03-10T00:00:00"/>
    <s v="Shipping Company C"/>
    <s v="Elizabeth Andersen"/>
    <s v="123 8th Street"/>
    <x v="2"/>
    <s v="OR"/>
    <n v="99999"/>
    <x v="0"/>
    <s v="Credit Card"/>
    <x v="15"/>
    <x v="10"/>
    <n v="34.799999999999997"/>
    <n v="63"/>
    <x v="59"/>
    <n v="217.04759999999999"/>
  </r>
  <r>
    <n v="1070"/>
    <x v="32"/>
    <n v="3"/>
    <x v="5"/>
    <s v="123 3rd Street"/>
    <x v="4"/>
    <x v="4"/>
    <n v="99999"/>
    <s v="USA"/>
    <x v="0"/>
    <x v="0"/>
    <d v="2014-03-05T00:00:00"/>
    <s v="Shipping Company B"/>
    <s v="Thomas Axerr"/>
    <s v="123 3rd Street"/>
    <x v="4"/>
    <s v="CA"/>
    <n v="99999"/>
    <x v="0"/>
    <s v="Cash"/>
    <x v="16"/>
    <x v="7"/>
    <n v="10"/>
    <n v="48"/>
    <x v="60"/>
    <n v="48"/>
  </r>
  <r>
    <n v="1071"/>
    <x v="32"/>
    <n v="3"/>
    <x v="5"/>
    <s v="123 3rd Street"/>
    <x v="4"/>
    <x v="4"/>
    <n v="99999"/>
    <s v="USA"/>
    <x v="0"/>
    <x v="0"/>
    <d v="2014-03-05T00:00:00"/>
    <s v="Shipping Company B"/>
    <s v="Thomas Axerr"/>
    <s v="123 3rd Street"/>
    <x v="4"/>
    <s v="CA"/>
    <n v="99999"/>
    <x v="0"/>
    <s v="Cash"/>
    <x v="9"/>
    <x v="5"/>
    <n v="40"/>
    <n v="71"/>
    <x v="61"/>
    <n v="295.36"/>
  </r>
  <r>
    <n v="1075"/>
    <x v="33"/>
    <n v="10"/>
    <x v="8"/>
    <s v="123 10th Street"/>
    <x v="7"/>
    <x v="7"/>
    <n v="99999"/>
    <s v="USA"/>
    <x v="6"/>
    <x v="1"/>
    <d v="2014-03-12T00:00:00"/>
    <s v="Shipping Company B"/>
    <s v="Roland Wacker"/>
    <s v="123 10th Street"/>
    <x v="7"/>
    <s v="IL"/>
    <n v="99999"/>
    <x v="0"/>
    <s v="Credit Card"/>
    <x v="18"/>
    <x v="1"/>
    <n v="10"/>
    <n v="55"/>
    <x v="62"/>
    <n v="55"/>
  </r>
  <r>
    <n v="1077"/>
    <x v="33"/>
    <n v="10"/>
    <x v="8"/>
    <s v="123 10th Street"/>
    <x v="7"/>
    <x v="7"/>
    <n v="99999"/>
    <s v="USA"/>
    <x v="6"/>
    <x v="1"/>
    <m/>
    <s v="Shipping Company A"/>
    <s v="Roland Wacker"/>
    <s v="123 10th Street"/>
    <x v="7"/>
    <s v="IL"/>
    <n v="99999"/>
    <x v="0"/>
    <m/>
    <x v="1"/>
    <x v="1"/>
    <n v="3.5"/>
    <n v="21"/>
    <x v="63"/>
    <n v="7.3500000000000005"/>
  </r>
  <r>
    <n v="1078"/>
    <x v="34"/>
    <n v="11"/>
    <x v="10"/>
    <s v="123 11th Street"/>
    <x v="9"/>
    <x v="9"/>
    <n v="99999"/>
    <s v="USA"/>
    <x v="5"/>
    <x v="3"/>
    <m/>
    <s v="Shipping Company C"/>
    <s v="Peter Krschne"/>
    <s v="123 11th Street"/>
    <x v="9"/>
    <s v="FL"/>
    <n v="99999"/>
    <x v="0"/>
    <m/>
    <x v="9"/>
    <x v="5"/>
    <n v="40"/>
    <n v="67"/>
    <x v="64"/>
    <n v="270.68"/>
  </r>
  <r>
    <n v="1079"/>
    <x v="23"/>
    <n v="1"/>
    <x v="11"/>
    <s v="123 1st Street"/>
    <x v="10"/>
    <x v="10"/>
    <n v="99999"/>
    <s v="USA"/>
    <x v="2"/>
    <x v="2"/>
    <m/>
    <s v="Shipping Company C"/>
    <s v="Anna Bedecs"/>
    <s v="123 1st Street"/>
    <x v="10"/>
    <s v="WA"/>
    <n v="99999"/>
    <x v="0"/>
    <m/>
    <x v="13"/>
    <x v="8"/>
    <n v="18.399999999999999"/>
    <n v="75"/>
    <x v="65"/>
    <n v="138"/>
  </r>
  <r>
    <n v="1080"/>
    <x v="35"/>
    <n v="28"/>
    <x v="7"/>
    <s v="789 28th Street"/>
    <x v="6"/>
    <x v="6"/>
    <n v="99999"/>
    <s v="USA"/>
    <x v="5"/>
    <x v="3"/>
    <d v="2014-03-30T00:00:00"/>
    <s v="Shipping Company C"/>
    <s v="Amritansh Raghav"/>
    <s v="789 28th Street"/>
    <x v="6"/>
    <s v="TN"/>
    <n v="99999"/>
    <x v="0"/>
    <s v="Credit Card"/>
    <x v="5"/>
    <x v="0"/>
    <n v="46"/>
    <n v="17"/>
    <x v="66"/>
    <n v="80.546000000000006"/>
  </r>
  <r>
    <n v="1081"/>
    <x v="36"/>
    <n v="4"/>
    <x v="1"/>
    <s v="123 4th Street"/>
    <x v="1"/>
    <x v="1"/>
    <n v="99999"/>
    <s v="USA"/>
    <x v="1"/>
    <x v="1"/>
    <d v="2014-04-06T00:00:00"/>
    <s v="Shipping Company A"/>
    <s v="Christina Lee"/>
    <s v="123 4th Street"/>
    <x v="1"/>
    <s v="NY"/>
    <n v="99999"/>
    <x v="0"/>
    <s v="Credit Card"/>
    <x v="1"/>
    <x v="1"/>
    <n v="3.5"/>
    <n v="48"/>
    <x v="67"/>
    <n v="16.295999999999999"/>
  </r>
  <r>
    <n v="1082"/>
    <x v="37"/>
    <n v="12"/>
    <x v="2"/>
    <s v="123 12th Street"/>
    <x v="0"/>
    <x v="0"/>
    <n v="99999"/>
    <s v="USA"/>
    <x v="0"/>
    <x v="0"/>
    <d v="2014-04-14T00:00:00"/>
    <s v="Shipping Company B"/>
    <s v="John Edwards"/>
    <s v="123 12th Street"/>
    <x v="0"/>
    <s v="NV"/>
    <n v="99999"/>
    <x v="0"/>
    <s v="Credit Card"/>
    <x v="4"/>
    <x v="0"/>
    <n v="18"/>
    <n v="74"/>
    <x v="68"/>
    <n v="137.19600000000003"/>
  </r>
  <r>
    <n v="1083"/>
    <x v="37"/>
    <n v="12"/>
    <x v="2"/>
    <s v="123 12th Street"/>
    <x v="0"/>
    <x v="0"/>
    <n v="99999"/>
    <s v="USA"/>
    <x v="0"/>
    <x v="0"/>
    <d v="2014-04-14T00:00:00"/>
    <s v="Shipping Company B"/>
    <s v="John Edwards"/>
    <s v="123 12th Street"/>
    <x v="0"/>
    <s v="NV"/>
    <n v="99999"/>
    <x v="0"/>
    <s v="Credit Card"/>
    <x v="5"/>
    <x v="0"/>
    <n v="46"/>
    <n v="96"/>
    <x v="69"/>
    <n v="428.35200000000003"/>
  </r>
  <r>
    <n v="1084"/>
    <x v="38"/>
    <n v="8"/>
    <x v="3"/>
    <s v="123 8th Street"/>
    <x v="2"/>
    <x v="2"/>
    <n v="99999"/>
    <s v="USA"/>
    <x v="2"/>
    <x v="2"/>
    <d v="2014-04-10T00:00:00"/>
    <s v="Shipping Company C"/>
    <s v="Elizabeth Andersen"/>
    <s v="123 8th Street"/>
    <x v="2"/>
    <s v="OR"/>
    <n v="99999"/>
    <x v="0"/>
    <s v="Credit Card"/>
    <x v="6"/>
    <x v="2"/>
    <n v="9.1999999999999993"/>
    <n v="12"/>
    <x v="70"/>
    <n v="11.3712"/>
  </r>
  <r>
    <n v="1085"/>
    <x v="36"/>
    <n v="4"/>
    <x v="1"/>
    <s v="123 4th Street"/>
    <x v="1"/>
    <x v="1"/>
    <n v="99999"/>
    <s v="USA"/>
    <x v="1"/>
    <x v="1"/>
    <n v="41735"/>
    <s v="Shipping Company C"/>
    <s v="Christina Lee"/>
    <s v="123 4th Street"/>
    <x v="1"/>
    <s v="NY"/>
    <n v="99999"/>
    <x v="0"/>
    <s v="Check"/>
    <x v="6"/>
    <x v="2"/>
    <n v="9.1999999999999993"/>
    <n v="62"/>
    <x v="71"/>
    <n v="58.751199999999997"/>
  </r>
  <r>
    <n v="1086"/>
    <x v="39"/>
    <n v="29"/>
    <x v="4"/>
    <s v="789 29th Street"/>
    <x v="3"/>
    <x v="3"/>
    <n v="99999"/>
    <s v="USA"/>
    <x v="3"/>
    <x v="0"/>
    <n v="41760"/>
    <s v="Shipping Company B"/>
    <s v="Soo Jung Lee"/>
    <s v="789 29th Street"/>
    <x v="3"/>
    <s v="CO"/>
    <n v="99999"/>
    <x v="0"/>
    <s v="Check"/>
    <x v="7"/>
    <x v="3"/>
    <n v="12.75"/>
    <n v="35"/>
    <x v="72"/>
    <n v="45.963750000000005"/>
  </r>
  <r>
    <n v="1087"/>
    <x v="40"/>
    <n v="3"/>
    <x v="5"/>
    <s v="123 3rd Street"/>
    <x v="4"/>
    <x v="4"/>
    <n v="99999"/>
    <s v="USA"/>
    <x v="0"/>
    <x v="0"/>
    <n v="41734"/>
    <s v="Shipping Company B"/>
    <s v="Thomas Axerr"/>
    <s v="123 3rd Street"/>
    <x v="4"/>
    <s v="CA"/>
    <n v="99999"/>
    <x v="0"/>
    <s v="Cash"/>
    <x v="8"/>
    <x v="4"/>
    <n v="9.65"/>
    <n v="95"/>
    <x v="73"/>
    <n v="91.675000000000011"/>
  </r>
  <r>
    <n v="1088"/>
    <x v="41"/>
    <n v="6"/>
    <x v="6"/>
    <s v="123 6th Street"/>
    <x v="5"/>
    <x v="5"/>
    <n v="99999"/>
    <s v="USA"/>
    <x v="4"/>
    <x v="2"/>
    <n v="41737"/>
    <s v="Shipping Company B"/>
    <s v="Francisco Pérez-Olaeta"/>
    <s v="123 6th Street"/>
    <x v="5"/>
    <s v="WI"/>
    <n v="99999"/>
    <x v="0"/>
    <s v="Credit Card"/>
    <x v="9"/>
    <x v="5"/>
    <n v="40"/>
    <n v="17"/>
    <x v="74"/>
    <n v="68.680000000000007"/>
  </r>
  <r>
    <n v="1089"/>
    <x v="42"/>
    <n v="28"/>
    <x v="7"/>
    <s v="789 28th Street"/>
    <x v="6"/>
    <x v="6"/>
    <n v="99999"/>
    <s v="USA"/>
    <x v="5"/>
    <x v="3"/>
    <d v="2014-04-30T00:00:00"/>
    <s v="Shipping Company C"/>
    <s v="Amritansh Raghav"/>
    <s v="789 28th Street"/>
    <x v="6"/>
    <s v="TN"/>
    <n v="99999"/>
    <x v="0"/>
    <s v="Check"/>
    <x v="5"/>
    <x v="0"/>
    <n v="46"/>
    <n v="96"/>
    <x v="69"/>
    <n v="463.68000000000006"/>
  </r>
  <r>
    <n v="1090"/>
    <x v="38"/>
    <n v="8"/>
    <x v="3"/>
    <s v="123 8th Street"/>
    <x v="2"/>
    <x v="2"/>
    <n v="99999"/>
    <s v="USA"/>
    <x v="2"/>
    <x v="2"/>
    <d v="2014-04-10T00:00:00"/>
    <s v="Shipping Company C"/>
    <s v="Elizabeth Andersen"/>
    <s v="123 8th Street"/>
    <x v="2"/>
    <s v="OR"/>
    <n v="99999"/>
    <x v="0"/>
    <s v="Check"/>
    <x v="7"/>
    <x v="3"/>
    <n v="12.75"/>
    <n v="83"/>
    <x v="75"/>
    <n v="102.65025"/>
  </r>
  <r>
    <n v="1091"/>
    <x v="43"/>
    <n v="10"/>
    <x v="8"/>
    <s v="123 10th Street"/>
    <x v="7"/>
    <x v="7"/>
    <n v="99999"/>
    <s v="USA"/>
    <x v="6"/>
    <x v="1"/>
    <d v="2014-04-12T00:00:00"/>
    <s v="Shipping Company B"/>
    <s v="Roland Wacker"/>
    <s v="123 10th Street"/>
    <x v="7"/>
    <s v="IL"/>
    <n v="99999"/>
    <x v="0"/>
    <s v="Credit Card"/>
    <x v="10"/>
    <x v="0"/>
    <n v="2.99"/>
    <n v="88"/>
    <x v="76"/>
    <n v="26.04888"/>
  </r>
  <r>
    <n v="1092"/>
    <x v="44"/>
    <n v="7"/>
    <x v="9"/>
    <s v="123 7th Street"/>
    <x v="8"/>
    <x v="8"/>
    <n v="99999"/>
    <s v="USA"/>
    <x v="2"/>
    <x v="2"/>
    <m/>
    <m/>
    <s v="Ming-Yang Xie"/>
    <s v="123 7th Street"/>
    <x v="8"/>
    <s v="ID"/>
    <n v="99999"/>
    <x v="0"/>
    <m/>
    <x v="5"/>
    <x v="0"/>
    <n v="46"/>
    <n v="59"/>
    <x v="77"/>
    <n v="284.97000000000003"/>
  </r>
  <r>
    <n v="1093"/>
    <x v="43"/>
    <n v="10"/>
    <x v="8"/>
    <s v="123 10th Street"/>
    <x v="7"/>
    <x v="7"/>
    <n v="99999"/>
    <s v="USA"/>
    <x v="6"/>
    <x v="1"/>
    <d v="2014-04-12T00:00:00"/>
    <s v="Shipping Company A"/>
    <s v="Roland Wacker"/>
    <s v="123 10th Street"/>
    <x v="7"/>
    <s v="IL"/>
    <n v="99999"/>
    <x v="0"/>
    <m/>
    <x v="11"/>
    <x v="6"/>
    <n v="25"/>
    <n v="27"/>
    <x v="78"/>
    <n v="68.849999999999994"/>
  </r>
  <r>
    <n v="1094"/>
    <x v="43"/>
    <n v="10"/>
    <x v="8"/>
    <s v="123 10th Street"/>
    <x v="7"/>
    <x v="7"/>
    <n v="99999"/>
    <s v="USA"/>
    <x v="6"/>
    <x v="1"/>
    <d v="2014-04-12T00:00:00"/>
    <s v="Shipping Company A"/>
    <s v="Roland Wacker"/>
    <s v="123 10th Street"/>
    <x v="7"/>
    <s v="IL"/>
    <n v="99999"/>
    <x v="0"/>
    <m/>
    <x v="12"/>
    <x v="7"/>
    <n v="22"/>
    <n v="37"/>
    <x v="79"/>
    <n v="85.470000000000013"/>
  </r>
  <r>
    <n v="1095"/>
    <x v="43"/>
    <n v="10"/>
    <x v="8"/>
    <s v="123 10th Street"/>
    <x v="7"/>
    <x v="7"/>
    <n v="99999"/>
    <s v="USA"/>
    <x v="6"/>
    <x v="1"/>
    <d v="2014-04-12T00:00:00"/>
    <s v="Shipping Company A"/>
    <s v="Roland Wacker"/>
    <s v="123 10th Street"/>
    <x v="7"/>
    <s v="IL"/>
    <n v="99999"/>
    <x v="0"/>
    <m/>
    <x v="6"/>
    <x v="2"/>
    <n v="9.1999999999999993"/>
    <n v="75"/>
    <x v="80"/>
    <n v="69"/>
  </r>
  <r>
    <n v="1096"/>
    <x v="45"/>
    <n v="11"/>
    <x v="10"/>
    <s v="123 11th Street"/>
    <x v="9"/>
    <x v="9"/>
    <n v="99999"/>
    <s v="USA"/>
    <x v="5"/>
    <x v="3"/>
    <m/>
    <s v="Shipping Company C"/>
    <s v="Peter Krschne"/>
    <s v="123 11th Street"/>
    <x v="9"/>
    <s v="FL"/>
    <n v="99999"/>
    <x v="0"/>
    <m/>
    <x v="1"/>
    <x v="1"/>
    <n v="3.5"/>
    <n v="71"/>
    <x v="81"/>
    <n v="24.104500000000002"/>
  </r>
  <r>
    <n v="1097"/>
    <x v="45"/>
    <n v="11"/>
    <x v="10"/>
    <s v="123 11th Street"/>
    <x v="9"/>
    <x v="9"/>
    <n v="99999"/>
    <s v="USA"/>
    <x v="5"/>
    <x v="3"/>
    <m/>
    <s v="Shipping Company C"/>
    <s v="Peter Krschne"/>
    <s v="123 11th Street"/>
    <x v="9"/>
    <s v="FL"/>
    <n v="99999"/>
    <x v="0"/>
    <m/>
    <x v="10"/>
    <x v="0"/>
    <n v="2.99"/>
    <n v="88"/>
    <x v="76"/>
    <n v="26.04888"/>
  </r>
  <r>
    <n v="1098"/>
    <x v="46"/>
    <n v="1"/>
    <x v="11"/>
    <s v="123 1st Street"/>
    <x v="10"/>
    <x v="10"/>
    <n v="99999"/>
    <s v="USA"/>
    <x v="2"/>
    <x v="2"/>
    <m/>
    <m/>
    <s v="Anna Bedecs"/>
    <s v="123 1st Street"/>
    <x v="10"/>
    <s v="WA"/>
    <n v="99999"/>
    <x v="0"/>
    <m/>
    <x v="4"/>
    <x v="0"/>
    <n v="18"/>
    <n v="55"/>
    <x v="82"/>
    <n v="97.02"/>
  </r>
  <r>
    <n v="1099"/>
    <x v="47"/>
    <n v="29"/>
    <x v="4"/>
    <s v="789 29th Street"/>
    <x v="3"/>
    <x v="3"/>
    <n v="99999"/>
    <s v="USA"/>
    <x v="3"/>
    <x v="0"/>
    <d v="2014-05-31T00:00:00"/>
    <s v="Shipping Company B"/>
    <s v="Soo Jung Lee"/>
    <s v="789 29th Street"/>
    <x v="3"/>
    <s v="CO"/>
    <n v="99999"/>
    <x v="0"/>
    <s v="Check"/>
    <x v="7"/>
    <x v="3"/>
    <n v="12.75"/>
    <n v="14"/>
    <x v="83"/>
    <n v="16.9575"/>
  </r>
  <r>
    <n v="1100"/>
    <x v="48"/>
    <n v="3"/>
    <x v="5"/>
    <s v="123 3rd Street"/>
    <x v="4"/>
    <x v="4"/>
    <n v="99999"/>
    <s v="USA"/>
    <x v="0"/>
    <x v="0"/>
    <d v="2014-05-05T00:00:00"/>
    <s v="Shipping Company B"/>
    <s v="Thomas Axerr"/>
    <s v="123 3rd Street"/>
    <x v="4"/>
    <s v="CA"/>
    <n v="99999"/>
    <x v="0"/>
    <s v="Cash"/>
    <x v="8"/>
    <x v="4"/>
    <n v="9.65"/>
    <n v="43"/>
    <x v="84"/>
    <n v="42.324900000000007"/>
  </r>
  <r>
    <n v="1101"/>
    <x v="49"/>
    <n v="6"/>
    <x v="6"/>
    <s v="123 6th Street"/>
    <x v="5"/>
    <x v="5"/>
    <n v="99999"/>
    <s v="USA"/>
    <x v="4"/>
    <x v="2"/>
    <n v="41767"/>
    <s v="Shipping Company B"/>
    <s v="Francisco Pérez-Olaeta"/>
    <s v="123 6th Street"/>
    <x v="5"/>
    <s v="WI"/>
    <n v="99999"/>
    <x v="0"/>
    <s v="Credit Card"/>
    <x v="9"/>
    <x v="5"/>
    <n v="40"/>
    <n v="63"/>
    <x v="85"/>
    <n v="254.52"/>
  </r>
  <r>
    <n v="1102"/>
    <x v="50"/>
    <n v="28"/>
    <x v="7"/>
    <s v="789 28th Street"/>
    <x v="6"/>
    <x v="6"/>
    <n v="99999"/>
    <s v="USA"/>
    <x v="5"/>
    <x v="3"/>
    <d v="2014-05-30T00:00:00"/>
    <s v="Shipping Company C"/>
    <s v="Amritansh Raghav"/>
    <s v="789 28th Street"/>
    <x v="6"/>
    <s v="TN"/>
    <n v="99999"/>
    <x v="0"/>
    <s v="Check"/>
    <x v="5"/>
    <x v="0"/>
    <n v="46"/>
    <n v="36"/>
    <x v="86"/>
    <n v="165.60000000000002"/>
  </r>
  <r>
    <n v="1103"/>
    <x v="51"/>
    <n v="8"/>
    <x v="3"/>
    <s v="123 8th Street"/>
    <x v="2"/>
    <x v="2"/>
    <n v="99999"/>
    <s v="USA"/>
    <x v="2"/>
    <x v="2"/>
    <d v="2014-05-10T00:00:00"/>
    <s v="Shipping Company C"/>
    <s v="Elizabeth Andersen"/>
    <s v="123 8th Street"/>
    <x v="2"/>
    <s v="OR"/>
    <n v="99999"/>
    <x v="0"/>
    <s v="Check"/>
    <x v="7"/>
    <x v="3"/>
    <n v="12.75"/>
    <n v="41"/>
    <x v="87"/>
    <n v="54.366000000000007"/>
  </r>
  <r>
    <n v="1104"/>
    <x v="52"/>
    <n v="10"/>
    <x v="8"/>
    <s v="123 10th Street"/>
    <x v="7"/>
    <x v="7"/>
    <n v="99999"/>
    <s v="USA"/>
    <x v="6"/>
    <x v="1"/>
    <d v="2014-05-12T00:00:00"/>
    <s v="Shipping Company B"/>
    <s v="Roland Wacker"/>
    <s v="123 10th Street"/>
    <x v="7"/>
    <s v="IL"/>
    <n v="99999"/>
    <x v="0"/>
    <s v="Credit Card"/>
    <x v="10"/>
    <x v="0"/>
    <n v="2.99"/>
    <n v="35"/>
    <x v="88"/>
    <n v="10.255700000000001"/>
  </r>
  <r>
    <n v="1105"/>
    <x v="53"/>
    <n v="7"/>
    <x v="9"/>
    <s v="123 7th Street"/>
    <x v="8"/>
    <x v="8"/>
    <n v="99999"/>
    <s v="USA"/>
    <x v="2"/>
    <x v="2"/>
    <m/>
    <m/>
    <s v="Ming-Yang Xie"/>
    <s v="123 7th Street"/>
    <x v="8"/>
    <s v="ID"/>
    <n v="99999"/>
    <x v="0"/>
    <m/>
    <x v="5"/>
    <x v="0"/>
    <n v="46"/>
    <n v="31"/>
    <x v="89"/>
    <n v="136.89599999999999"/>
  </r>
  <r>
    <n v="1106"/>
    <x v="52"/>
    <n v="10"/>
    <x v="8"/>
    <s v="123 10th Street"/>
    <x v="7"/>
    <x v="7"/>
    <n v="99999"/>
    <s v="USA"/>
    <x v="6"/>
    <x v="1"/>
    <n v="41771"/>
    <s v="Shipping Company A"/>
    <s v="Roland Wacker"/>
    <s v="123 10th Street"/>
    <x v="7"/>
    <s v="IL"/>
    <n v="99999"/>
    <x v="0"/>
    <m/>
    <x v="11"/>
    <x v="6"/>
    <n v="25"/>
    <n v="52"/>
    <x v="90"/>
    <n v="123.5"/>
  </r>
  <r>
    <n v="1107"/>
    <x v="52"/>
    <n v="10"/>
    <x v="8"/>
    <s v="123 10th Street"/>
    <x v="7"/>
    <x v="7"/>
    <n v="99999"/>
    <s v="USA"/>
    <x v="6"/>
    <x v="1"/>
    <n v="41771"/>
    <s v="Shipping Company A"/>
    <s v="Roland Wacker"/>
    <s v="123 10th Street"/>
    <x v="7"/>
    <s v="IL"/>
    <n v="99999"/>
    <x v="0"/>
    <m/>
    <x v="12"/>
    <x v="7"/>
    <n v="22"/>
    <n v="30"/>
    <x v="91"/>
    <n v="67.320000000000007"/>
  </r>
  <r>
    <n v="1108"/>
    <x v="52"/>
    <n v="10"/>
    <x v="8"/>
    <s v="123 10th Street"/>
    <x v="7"/>
    <x v="7"/>
    <n v="99999"/>
    <s v="USA"/>
    <x v="6"/>
    <x v="1"/>
    <d v="2014-05-12T00:00:00"/>
    <s v="Shipping Company A"/>
    <s v="Roland Wacker"/>
    <s v="123 10th Street"/>
    <x v="7"/>
    <s v="IL"/>
    <n v="99999"/>
    <x v="0"/>
    <m/>
    <x v="6"/>
    <x v="2"/>
    <n v="9.1999999999999993"/>
    <n v="41"/>
    <x v="92"/>
    <n v="38.474400000000003"/>
  </r>
  <r>
    <n v="1109"/>
    <x v="54"/>
    <n v="11"/>
    <x v="10"/>
    <s v="123 11th Street"/>
    <x v="9"/>
    <x v="9"/>
    <n v="99999"/>
    <s v="USA"/>
    <x v="5"/>
    <x v="3"/>
    <m/>
    <s v="Shipping Company C"/>
    <s v="Peter Krschne"/>
    <s v="123 11th Street"/>
    <x v="9"/>
    <s v="FL"/>
    <n v="99999"/>
    <x v="0"/>
    <m/>
    <x v="1"/>
    <x v="1"/>
    <n v="3.5"/>
    <n v="44"/>
    <x v="93"/>
    <n v="15.246"/>
  </r>
  <r>
    <n v="1110"/>
    <x v="54"/>
    <n v="11"/>
    <x v="10"/>
    <s v="123 11th Street"/>
    <x v="9"/>
    <x v="9"/>
    <n v="99999"/>
    <s v="USA"/>
    <x v="5"/>
    <x v="3"/>
    <m/>
    <s v="Shipping Company C"/>
    <s v="Peter Krschne"/>
    <s v="123 11th Street"/>
    <x v="9"/>
    <s v="FL"/>
    <n v="99999"/>
    <x v="0"/>
    <m/>
    <x v="10"/>
    <x v="0"/>
    <n v="2.99"/>
    <n v="77"/>
    <x v="94"/>
    <n v="23.023000000000003"/>
  </r>
  <r>
    <n v="1111"/>
    <x v="55"/>
    <n v="1"/>
    <x v="11"/>
    <s v="123 1st Street"/>
    <x v="10"/>
    <x v="10"/>
    <n v="99999"/>
    <s v="USA"/>
    <x v="2"/>
    <x v="2"/>
    <m/>
    <m/>
    <s v="Anna Bedecs"/>
    <s v="123 1st Street"/>
    <x v="10"/>
    <s v="WA"/>
    <n v="99999"/>
    <x v="0"/>
    <m/>
    <x v="4"/>
    <x v="0"/>
    <n v="18"/>
    <n v="29"/>
    <x v="95"/>
    <n v="52.722000000000001"/>
  </r>
  <r>
    <n v="1112"/>
    <x v="55"/>
    <n v="1"/>
    <x v="11"/>
    <s v="123 1st Street"/>
    <x v="10"/>
    <x v="10"/>
    <n v="99999"/>
    <s v="USA"/>
    <x v="2"/>
    <x v="2"/>
    <m/>
    <m/>
    <s v="Anna Bedecs"/>
    <s v="123 1st Street"/>
    <x v="10"/>
    <s v="WA"/>
    <n v="99999"/>
    <x v="0"/>
    <m/>
    <x v="5"/>
    <x v="0"/>
    <n v="46"/>
    <n v="77"/>
    <x v="96"/>
    <n v="368.36800000000005"/>
  </r>
  <r>
    <n v="1113"/>
    <x v="55"/>
    <n v="1"/>
    <x v="11"/>
    <s v="123 1st Street"/>
    <x v="10"/>
    <x v="10"/>
    <n v="99999"/>
    <s v="USA"/>
    <x v="2"/>
    <x v="2"/>
    <m/>
    <m/>
    <s v="Anna Bedecs"/>
    <s v="123 1st Street"/>
    <x v="10"/>
    <s v="WA"/>
    <n v="99999"/>
    <x v="0"/>
    <m/>
    <x v="10"/>
    <x v="0"/>
    <n v="2.99"/>
    <n v="73"/>
    <x v="97"/>
    <n v="21.827000000000002"/>
  </r>
  <r>
    <n v="1114"/>
    <x v="50"/>
    <n v="28"/>
    <x v="7"/>
    <s v="789 28th Street"/>
    <x v="6"/>
    <x v="6"/>
    <n v="99999"/>
    <s v="USA"/>
    <x v="5"/>
    <x v="3"/>
    <n v="41789"/>
    <s v="Shipping Company C"/>
    <s v="Amritansh Raghav"/>
    <s v="789 28th Street"/>
    <x v="6"/>
    <s v="TN"/>
    <n v="99999"/>
    <x v="0"/>
    <s v="Credit Card"/>
    <x v="8"/>
    <x v="4"/>
    <n v="9.65"/>
    <n v="74"/>
    <x v="98"/>
    <n v="67.839500000000001"/>
  </r>
  <r>
    <n v="1115"/>
    <x v="50"/>
    <n v="28"/>
    <x v="7"/>
    <s v="789 28th Street"/>
    <x v="6"/>
    <x v="6"/>
    <n v="99999"/>
    <s v="USA"/>
    <x v="5"/>
    <x v="3"/>
    <d v="2014-05-30T00:00:00"/>
    <s v="Shipping Company C"/>
    <s v="Amritansh Raghav"/>
    <s v="789 28th Street"/>
    <x v="6"/>
    <s v="TN"/>
    <n v="99999"/>
    <x v="0"/>
    <s v="Credit Card"/>
    <x v="13"/>
    <x v="8"/>
    <n v="18.399999999999999"/>
    <n v="25"/>
    <x v="99"/>
    <n v="46.46"/>
  </r>
  <r>
    <n v="1116"/>
    <x v="56"/>
    <n v="9"/>
    <x v="12"/>
    <s v="123 9th Street"/>
    <x v="11"/>
    <x v="11"/>
    <n v="99999"/>
    <s v="USA"/>
    <x v="7"/>
    <x v="0"/>
    <d v="2014-05-11T00:00:00"/>
    <s v="Shipping Company A"/>
    <s v="Sven Mortensen"/>
    <s v="123 9th Street"/>
    <x v="11"/>
    <s v="UT"/>
    <n v="99999"/>
    <x v="0"/>
    <s v="Check"/>
    <x v="14"/>
    <x v="9"/>
    <n v="19.5"/>
    <n v="82"/>
    <x v="100"/>
    <n v="153.50399999999999"/>
  </r>
  <r>
    <n v="1117"/>
    <x v="56"/>
    <n v="9"/>
    <x v="12"/>
    <s v="123 9th Street"/>
    <x v="11"/>
    <x v="11"/>
    <n v="99999"/>
    <s v="USA"/>
    <x v="7"/>
    <x v="0"/>
    <d v="2014-05-11T00:00:00"/>
    <s v="Shipping Company A"/>
    <s v="Sven Mortensen"/>
    <s v="123 9th Street"/>
    <x v="11"/>
    <s v="UT"/>
    <n v="99999"/>
    <x v="0"/>
    <s v="Check"/>
    <x v="15"/>
    <x v="10"/>
    <n v="34.799999999999997"/>
    <n v="37"/>
    <x v="101"/>
    <n v="132.62279999999998"/>
  </r>
  <r>
    <n v="1118"/>
    <x v="49"/>
    <n v="6"/>
    <x v="6"/>
    <s v="123 6th Street"/>
    <x v="5"/>
    <x v="5"/>
    <n v="99999"/>
    <s v="USA"/>
    <x v="4"/>
    <x v="2"/>
    <n v="41767"/>
    <s v="Shipping Company B"/>
    <s v="Francisco Pérez-Olaeta"/>
    <s v="123 6th Street"/>
    <x v="5"/>
    <s v="WI"/>
    <n v="99999"/>
    <x v="0"/>
    <s v="Credit Card"/>
    <x v="0"/>
    <x v="0"/>
    <n v="14"/>
    <n v="84"/>
    <x v="102"/>
    <n v="112.896"/>
  </r>
  <r>
    <n v="1119"/>
    <x v="51"/>
    <n v="8"/>
    <x v="3"/>
    <s v="123 8th Street"/>
    <x v="2"/>
    <x v="2"/>
    <n v="99999"/>
    <s v="USA"/>
    <x v="2"/>
    <x v="2"/>
    <n v="41769"/>
    <s v="Shipping Company B"/>
    <s v="Elizabeth Andersen"/>
    <s v="123 8th Street"/>
    <x v="2"/>
    <s v="OR"/>
    <n v="99999"/>
    <x v="0"/>
    <s v="Check"/>
    <x v="9"/>
    <x v="5"/>
    <n v="40"/>
    <n v="73"/>
    <x v="103"/>
    <n v="283.24"/>
  </r>
  <r>
    <n v="1120"/>
    <x v="51"/>
    <n v="8"/>
    <x v="3"/>
    <s v="123 8th Street"/>
    <x v="2"/>
    <x v="2"/>
    <n v="99999"/>
    <s v="USA"/>
    <x v="2"/>
    <x v="2"/>
    <n v="41769"/>
    <s v="Shipping Company B"/>
    <s v="Elizabeth Andersen"/>
    <s v="123 8th Street"/>
    <x v="2"/>
    <s v="OR"/>
    <n v="99999"/>
    <x v="0"/>
    <s v="Check"/>
    <x v="6"/>
    <x v="2"/>
    <n v="9.1999999999999993"/>
    <n v="51"/>
    <x v="104"/>
    <n v="44.573999999999998"/>
  </r>
  <r>
    <n v="1121"/>
    <x v="57"/>
    <n v="25"/>
    <x v="13"/>
    <s v="789 25th Street"/>
    <x v="7"/>
    <x v="7"/>
    <n v="99999"/>
    <s v="USA"/>
    <x v="6"/>
    <x v="1"/>
    <n v="41786"/>
    <s v="Shipping Company A"/>
    <s v="John Rodman"/>
    <s v="789 25th Street"/>
    <x v="7"/>
    <s v="IL"/>
    <n v="99999"/>
    <x v="0"/>
    <s v="Cash"/>
    <x v="21"/>
    <x v="2"/>
    <n v="10"/>
    <n v="66"/>
    <x v="91"/>
    <n v="68.64"/>
  </r>
  <r>
    <n v="1122"/>
    <x v="58"/>
    <n v="26"/>
    <x v="14"/>
    <s v="789 26th Street"/>
    <x v="9"/>
    <x v="9"/>
    <n v="99999"/>
    <s v="USA"/>
    <x v="5"/>
    <x v="3"/>
    <n v="41787"/>
    <s v="Shipping Company C"/>
    <s v="Run Liu"/>
    <s v="789 26th Street"/>
    <x v="9"/>
    <s v="FL"/>
    <n v="99999"/>
    <x v="0"/>
    <s v="Credit Card"/>
    <x v="22"/>
    <x v="13"/>
    <n v="21.35"/>
    <n v="36"/>
    <x v="105"/>
    <n v="74.554200000000009"/>
  </r>
  <r>
    <n v="1123"/>
    <x v="58"/>
    <n v="26"/>
    <x v="14"/>
    <s v="789 26th Street"/>
    <x v="9"/>
    <x v="9"/>
    <n v="99999"/>
    <s v="USA"/>
    <x v="5"/>
    <x v="3"/>
    <d v="2014-05-28T00:00:00"/>
    <s v="Shipping Company C"/>
    <s v="Run Liu"/>
    <s v="789 26th Street"/>
    <x v="9"/>
    <s v="FL"/>
    <n v="99999"/>
    <x v="0"/>
    <s v="Credit Card"/>
    <x v="8"/>
    <x v="4"/>
    <n v="9.65"/>
    <n v="87"/>
    <x v="106"/>
    <n v="87.313200000000009"/>
  </r>
  <r>
    <n v="1124"/>
    <x v="58"/>
    <n v="26"/>
    <x v="14"/>
    <s v="789 26th Street"/>
    <x v="9"/>
    <x v="9"/>
    <n v="99999"/>
    <s v="USA"/>
    <x v="5"/>
    <x v="3"/>
    <d v="2014-05-28T00:00:00"/>
    <s v="Shipping Company C"/>
    <s v="Run Liu"/>
    <s v="789 26th Street"/>
    <x v="9"/>
    <s v="FL"/>
    <n v="99999"/>
    <x v="0"/>
    <s v="Credit Card"/>
    <x v="13"/>
    <x v="8"/>
    <n v="18.399999999999999"/>
    <n v="64"/>
    <x v="107"/>
    <n v="115.40479999999999"/>
  </r>
  <r>
    <n v="1125"/>
    <x v="47"/>
    <n v="29"/>
    <x v="4"/>
    <s v="789 29th Street"/>
    <x v="3"/>
    <x v="3"/>
    <n v="99999"/>
    <s v="USA"/>
    <x v="3"/>
    <x v="0"/>
    <d v="2014-05-31T00:00:00"/>
    <s v="Shipping Company B"/>
    <s v="Soo Jung Lee"/>
    <s v="789 29th Street"/>
    <x v="3"/>
    <s v="CO"/>
    <n v="99999"/>
    <x v="0"/>
    <s v="Check"/>
    <x v="0"/>
    <x v="0"/>
    <n v="14"/>
    <n v="21"/>
    <x v="108"/>
    <n v="30.870000000000005"/>
  </r>
  <r>
    <n v="1126"/>
    <x v="49"/>
    <n v="6"/>
    <x v="6"/>
    <s v="123 6th Street"/>
    <x v="5"/>
    <x v="5"/>
    <n v="99999"/>
    <s v="USA"/>
    <x v="4"/>
    <x v="2"/>
    <d v="2014-05-08T00:00:00"/>
    <s v="Shipping Company C"/>
    <s v="Francisco Pérez-Olaeta"/>
    <s v="123 6th Street"/>
    <x v="5"/>
    <s v="WI"/>
    <n v="99999"/>
    <x v="0"/>
    <s v="Check"/>
    <x v="7"/>
    <x v="3"/>
    <n v="12.75"/>
    <n v="19"/>
    <x v="109"/>
    <n v="24.46725"/>
  </r>
  <r>
    <n v="1128"/>
    <x v="59"/>
    <n v="4"/>
    <x v="1"/>
    <s v="123 4th Street"/>
    <x v="1"/>
    <x v="1"/>
    <n v="99999"/>
    <s v="USA"/>
    <x v="1"/>
    <x v="1"/>
    <d v="2014-05-06T00:00:00"/>
    <s v="Shipping Company A"/>
    <s v="Christina Lee"/>
    <s v="123 4th Street"/>
    <x v="1"/>
    <s v="NY"/>
    <n v="99999"/>
    <x v="0"/>
    <s v="Credit Card"/>
    <x v="23"/>
    <x v="6"/>
    <n v="81"/>
    <n v="23"/>
    <x v="110"/>
    <n v="195.61500000000001"/>
  </r>
  <r>
    <n v="1129"/>
    <x v="59"/>
    <n v="4"/>
    <x v="1"/>
    <s v="123 4th Street"/>
    <x v="1"/>
    <x v="1"/>
    <n v="99999"/>
    <s v="USA"/>
    <x v="1"/>
    <x v="1"/>
    <d v="2014-05-06T00:00:00"/>
    <s v="Shipping Company A"/>
    <s v="Christina Lee"/>
    <s v="123 4th Street"/>
    <x v="1"/>
    <s v="NY"/>
    <n v="99999"/>
    <x v="0"/>
    <s v="Credit Card"/>
    <x v="24"/>
    <x v="14"/>
    <n v="7"/>
    <n v="72"/>
    <x v="111"/>
    <n v="51.912000000000006"/>
  </r>
  <r>
    <n v="1131"/>
    <x v="51"/>
    <n v="8"/>
    <x v="3"/>
    <s v="123 8th Street"/>
    <x v="2"/>
    <x v="2"/>
    <n v="99999"/>
    <s v="USA"/>
    <x v="2"/>
    <x v="2"/>
    <d v="2014-05-10T00:00:00"/>
    <s v="Shipping Company C"/>
    <s v="Elizabeth Andersen"/>
    <s v="123 8th Street"/>
    <x v="2"/>
    <s v="OR"/>
    <n v="99999"/>
    <x v="0"/>
    <s v="Credit Card"/>
    <x v="15"/>
    <x v="10"/>
    <n v="34.799999999999997"/>
    <n v="22"/>
    <x v="112"/>
    <n v="75.02879999999999"/>
  </r>
  <r>
    <n v="1134"/>
    <x v="48"/>
    <n v="3"/>
    <x v="5"/>
    <s v="123 3rd Street"/>
    <x v="4"/>
    <x v="4"/>
    <n v="99999"/>
    <s v="USA"/>
    <x v="0"/>
    <x v="0"/>
    <d v="2014-05-05T00:00:00"/>
    <s v="Shipping Company B"/>
    <s v="Thomas Axerr"/>
    <s v="123 3rd Street"/>
    <x v="4"/>
    <s v="CA"/>
    <n v="99999"/>
    <x v="0"/>
    <s v="Cash"/>
    <x v="16"/>
    <x v="7"/>
    <n v="10"/>
    <n v="82"/>
    <x v="113"/>
    <n v="85.28"/>
  </r>
  <r>
    <n v="1135"/>
    <x v="48"/>
    <n v="3"/>
    <x v="5"/>
    <s v="123 3rd Street"/>
    <x v="4"/>
    <x v="4"/>
    <n v="99999"/>
    <s v="USA"/>
    <x v="0"/>
    <x v="0"/>
    <d v="2014-05-05T00:00:00"/>
    <s v="Shipping Company B"/>
    <s v="Thomas Axerr"/>
    <s v="123 3rd Street"/>
    <x v="4"/>
    <s v="CA"/>
    <n v="99999"/>
    <x v="0"/>
    <s v="Cash"/>
    <x v="9"/>
    <x v="5"/>
    <n v="40"/>
    <n v="98"/>
    <x v="114"/>
    <n v="411.6"/>
  </r>
  <r>
    <n v="1138"/>
    <x v="60"/>
    <n v="7"/>
    <x v="9"/>
    <s v="123 7th Street"/>
    <x v="8"/>
    <x v="8"/>
    <n v="99999"/>
    <s v="USA"/>
    <x v="2"/>
    <x v="2"/>
    <m/>
    <m/>
    <s v="Ming-Yang Xie"/>
    <s v="123 7th Street"/>
    <x v="8"/>
    <s v="ID"/>
    <n v="99999"/>
    <x v="0"/>
    <m/>
    <x v="5"/>
    <x v="0"/>
    <n v="46"/>
    <n v="71"/>
    <x v="115"/>
    <n v="310.27"/>
  </r>
  <r>
    <n v="1139"/>
    <x v="61"/>
    <n v="10"/>
    <x v="8"/>
    <s v="123 10th Street"/>
    <x v="7"/>
    <x v="7"/>
    <n v="99999"/>
    <s v="USA"/>
    <x v="6"/>
    <x v="1"/>
    <d v="2014-06-12T00:00:00"/>
    <s v="Shipping Company A"/>
    <s v="Roland Wacker"/>
    <s v="123 10th Street"/>
    <x v="7"/>
    <s v="IL"/>
    <n v="99999"/>
    <x v="0"/>
    <m/>
    <x v="11"/>
    <x v="6"/>
    <n v="25"/>
    <n v="40"/>
    <x v="116"/>
    <n v="105"/>
  </r>
  <r>
    <n v="1140"/>
    <x v="61"/>
    <n v="10"/>
    <x v="8"/>
    <s v="123 10th Street"/>
    <x v="7"/>
    <x v="7"/>
    <n v="99999"/>
    <s v="USA"/>
    <x v="6"/>
    <x v="1"/>
    <d v="2014-06-12T00:00:00"/>
    <s v="Shipping Company A"/>
    <s v="Roland Wacker"/>
    <s v="123 10th Street"/>
    <x v="7"/>
    <s v="IL"/>
    <n v="99999"/>
    <x v="0"/>
    <m/>
    <x v="12"/>
    <x v="7"/>
    <n v="22"/>
    <n v="80"/>
    <x v="117"/>
    <n v="172.48"/>
  </r>
  <r>
    <n v="1141"/>
    <x v="61"/>
    <n v="10"/>
    <x v="8"/>
    <s v="123 10th Street"/>
    <x v="7"/>
    <x v="7"/>
    <n v="99999"/>
    <s v="USA"/>
    <x v="6"/>
    <x v="1"/>
    <d v="2014-06-12T00:00:00"/>
    <s v="Shipping Company A"/>
    <s v="Roland Wacker"/>
    <s v="123 10th Street"/>
    <x v="7"/>
    <s v="IL"/>
    <n v="99999"/>
    <x v="0"/>
    <m/>
    <x v="6"/>
    <x v="2"/>
    <n v="9.1999999999999993"/>
    <n v="38"/>
    <x v="7"/>
    <n v="33.211999999999996"/>
  </r>
  <r>
    <n v="1142"/>
    <x v="62"/>
    <n v="11"/>
    <x v="10"/>
    <s v="123 11th Street"/>
    <x v="9"/>
    <x v="9"/>
    <n v="99999"/>
    <s v="USA"/>
    <x v="5"/>
    <x v="3"/>
    <m/>
    <s v="Shipping Company C"/>
    <s v="Peter Krschne"/>
    <s v="123 11th Street"/>
    <x v="9"/>
    <s v="FL"/>
    <n v="99999"/>
    <x v="0"/>
    <m/>
    <x v="1"/>
    <x v="1"/>
    <n v="3.5"/>
    <n v="28"/>
    <x v="118"/>
    <n v="10.290000000000001"/>
  </r>
  <r>
    <n v="1143"/>
    <x v="62"/>
    <n v="11"/>
    <x v="10"/>
    <s v="123 11th Street"/>
    <x v="9"/>
    <x v="9"/>
    <n v="99999"/>
    <s v="USA"/>
    <x v="5"/>
    <x v="3"/>
    <m/>
    <s v="Shipping Company C"/>
    <s v="Peter Krschne"/>
    <s v="123 11th Street"/>
    <x v="9"/>
    <s v="FL"/>
    <n v="99999"/>
    <x v="0"/>
    <m/>
    <x v="10"/>
    <x v="0"/>
    <n v="2.99"/>
    <n v="60"/>
    <x v="119"/>
    <n v="17.581200000000003"/>
  </r>
  <r>
    <n v="1144"/>
    <x v="63"/>
    <n v="1"/>
    <x v="11"/>
    <s v="123 1st Street"/>
    <x v="10"/>
    <x v="10"/>
    <n v="99999"/>
    <s v="USA"/>
    <x v="2"/>
    <x v="2"/>
    <m/>
    <m/>
    <s v="Anna Bedecs"/>
    <s v="123 1st Street"/>
    <x v="10"/>
    <s v="WA"/>
    <n v="99999"/>
    <x v="0"/>
    <m/>
    <x v="4"/>
    <x v="0"/>
    <n v="18"/>
    <n v="33"/>
    <x v="120"/>
    <n v="58.212000000000003"/>
  </r>
  <r>
    <n v="1145"/>
    <x v="63"/>
    <n v="1"/>
    <x v="11"/>
    <s v="123 1st Street"/>
    <x v="10"/>
    <x v="10"/>
    <n v="99999"/>
    <s v="USA"/>
    <x v="2"/>
    <x v="2"/>
    <m/>
    <m/>
    <s v="Anna Bedecs"/>
    <s v="123 1st Street"/>
    <x v="10"/>
    <s v="WA"/>
    <n v="99999"/>
    <x v="0"/>
    <m/>
    <x v="5"/>
    <x v="0"/>
    <n v="46"/>
    <n v="22"/>
    <x v="121"/>
    <n v="101.2"/>
  </r>
  <r>
    <n v="1146"/>
    <x v="63"/>
    <n v="1"/>
    <x v="11"/>
    <s v="123 1st Street"/>
    <x v="10"/>
    <x v="10"/>
    <n v="99999"/>
    <s v="USA"/>
    <x v="2"/>
    <x v="2"/>
    <m/>
    <m/>
    <s v="Anna Bedecs"/>
    <s v="123 1st Street"/>
    <x v="10"/>
    <s v="WA"/>
    <n v="99999"/>
    <x v="0"/>
    <m/>
    <x v="10"/>
    <x v="0"/>
    <n v="2.99"/>
    <n v="51"/>
    <x v="122"/>
    <n v="14.944020000000002"/>
  </r>
  <r>
    <n v="1147"/>
    <x v="64"/>
    <n v="28"/>
    <x v="7"/>
    <s v="789 28th Street"/>
    <x v="6"/>
    <x v="6"/>
    <n v="99999"/>
    <s v="USA"/>
    <x v="5"/>
    <x v="3"/>
    <d v="2014-06-30T00:00:00"/>
    <s v="Shipping Company C"/>
    <s v="Amritansh Raghav"/>
    <s v="789 28th Street"/>
    <x v="6"/>
    <s v="TN"/>
    <n v="99999"/>
    <x v="0"/>
    <s v="Credit Card"/>
    <x v="8"/>
    <x v="4"/>
    <n v="9.65"/>
    <n v="60"/>
    <x v="123"/>
    <n v="57.321000000000005"/>
  </r>
  <r>
    <n v="1148"/>
    <x v="64"/>
    <n v="28"/>
    <x v="7"/>
    <s v="789 28th Street"/>
    <x v="6"/>
    <x v="6"/>
    <n v="99999"/>
    <s v="USA"/>
    <x v="5"/>
    <x v="3"/>
    <d v="2014-06-30T00:00:00"/>
    <s v="Shipping Company C"/>
    <s v="Amritansh Raghav"/>
    <s v="789 28th Street"/>
    <x v="6"/>
    <s v="TN"/>
    <n v="99999"/>
    <x v="0"/>
    <s v="Credit Card"/>
    <x v="13"/>
    <x v="8"/>
    <n v="18.399999999999999"/>
    <n v="98"/>
    <x v="124"/>
    <n v="183.9264"/>
  </r>
  <r>
    <n v="1149"/>
    <x v="65"/>
    <n v="9"/>
    <x v="12"/>
    <s v="123 9th Street"/>
    <x v="11"/>
    <x v="11"/>
    <n v="99999"/>
    <s v="USA"/>
    <x v="7"/>
    <x v="0"/>
    <d v="2014-06-11T00:00:00"/>
    <s v="Shipping Company A"/>
    <s v="Sven Mortensen"/>
    <s v="123 9th Street"/>
    <x v="11"/>
    <s v="UT"/>
    <n v="99999"/>
    <x v="0"/>
    <s v="Check"/>
    <x v="14"/>
    <x v="9"/>
    <n v="19.5"/>
    <n v="27"/>
    <x v="125"/>
    <n v="51.070500000000003"/>
  </r>
  <r>
    <n v="1150"/>
    <x v="65"/>
    <n v="9"/>
    <x v="12"/>
    <s v="123 9th Street"/>
    <x v="11"/>
    <x v="11"/>
    <n v="99999"/>
    <s v="USA"/>
    <x v="7"/>
    <x v="0"/>
    <d v="2014-06-11T00:00:00"/>
    <s v="Shipping Company A"/>
    <s v="Sven Mortensen"/>
    <s v="123 9th Street"/>
    <x v="11"/>
    <s v="UT"/>
    <n v="99999"/>
    <x v="0"/>
    <s v="Check"/>
    <x v="15"/>
    <x v="10"/>
    <n v="34.799999999999997"/>
    <n v="88"/>
    <x v="126"/>
    <n v="303.17759999999993"/>
  </r>
  <r>
    <n v="1151"/>
    <x v="66"/>
    <n v="6"/>
    <x v="6"/>
    <s v="123 6th Street"/>
    <x v="5"/>
    <x v="5"/>
    <n v="99999"/>
    <s v="USA"/>
    <x v="4"/>
    <x v="2"/>
    <d v="2014-06-08T00:00:00"/>
    <s v="Shipping Company B"/>
    <s v="Francisco Pérez-Olaeta"/>
    <s v="123 6th Street"/>
    <x v="5"/>
    <s v="WI"/>
    <n v="99999"/>
    <x v="0"/>
    <s v="Credit Card"/>
    <x v="0"/>
    <x v="0"/>
    <n v="14"/>
    <n v="65"/>
    <x v="127"/>
    <n v="95.55"/>
  </r>
  <r>
    <n v="1152"/>
    <x v="67"/>
    <n v="8"/>
    <x v="3"/>
    <s v="123 8th Street"/>
    <x v="2"/>
    <x v="2"/>
    <n v="99999"/>
    <s v="USA"/>
    <x v="2"/>
    <x v="2"/>
    <d v="2014-06-10T00:00:00"/>
    <s v="Shipping Company B"/>
    <s v="Elizabeth Andersen"/>
    <s v="123 8th Street"/>
    <x v="2"/>
    <s v="OR"/>
    <n v="99999"/>
    <x v="0"/>
    <s v="Check"/>
    <x v="9"/>
    <x v="5"/>
    <n v="40"/>
    <n v="38"/>
    <x v="128"/>
    <n v="148.96"/>
  </r>
  <r>
    <n v="1153"/>
    <x v="67"/>
    <n v="8"/>
    <x v="3"/>
    <s v="123 8th Street"/>
    <x v="2"/>
    <x v="2"/>
    <n v="99999"/>
    <s v="USA"/>
    <x v="2"/>
    <x v="2"/>
    <n v="41800"/>
    <s v="Shipping Company B"/>
    <s v="Elizabeth Andersen"/>
    <s v="123 8th Street"/>
    <x v="2"/>
    <s v="OR"/>
    <n v="99999"/>
    <x v="0"/>
    <s v="Check"/>
    <x v="6"/>
    <x v="2"/>
    <n v="9.1999999999999993"/>
    <n v="80"/>
    <x v="129"/>
    <n v="70.656000000000006"/>
  </r>
  <r>
    <n v="1154"/>
    <x v="68"/>
    <n v="25"/>
    <x v="13"/>
    <s v="789 25th Street"/>
    <x v="7"/>
    <x v="7"/>
    <n v="99999"/>
    <s v="USA"/>
    <x v="6"/>
    <x v="1"/>
    <d v="2014-06-27T00:00:00"/>
    <s v="Shipping Company A"/>
    <s v="John Rodman"/>
    <s v="789 25th Street"/>
    <x v="7"/>
    <s v="IL"/>
    <n v="99999"/>
    <x v="0"/>
    <s v="Cash"/>
    <x v="21"/>
    <x v="2"/>
    <n v="10"/>
    <n v="49"/>
    <x v="130"/>
    <n v="47.04"/>
  </r>
  <r>
    <n v="1155"/>
    <x v="69"/>
    <n v="26"/>
    <x v="14"/>
    <s v="789 26th Street"/>
    <x v="9"/>
    <x v="9"/>
    <n v="99999"/>
    <s v="USA"/>
    <x v="5"/>
    <x v="3"/>
    <d v="2014-06-28T00:00:00"/>
    <s v="Shipping Company C"/>
    <s v="Run Liu"/>
    <s v="789 26th Street"/>
    <x v="9"/>
    <s v="FL"/>
    <n v="99999"/>
    <x v="0"/>
    <s v="Credit Card"/>
    <x v="22"/>
    <x v="13"/>
    <n v="21.35"/>
    <n v="90"/>
    <x v="131"/>
    <n v="186.38550000000004"/>
  </r>
  <r>
    <n v="1156"/>
    <x v="69"/>
    <n v="26"/>
    <x v="14"/>
    <s v="789 26th Street"/>
    <x v="9"/>
    <x v="9"/>
    <n v="99999"/>
    <s v="USA"/>
    <x v="5"/>
    <x v="3"/>
    <d v="2014-06-28T00:00:00"/>
    <s v="Shipping Company C"/>
    <s v="Run Liu"/>
    <s v="789 26th Street"/>
    <x v="9"/>
    <s v="FL"/>
    <n v="99999"/>
    <x v="0"/>
    <s v="Credit Card"/>
    <x v="8"/>
    <x v="4"/>
    <n v="9.65"/>
    <n v="60"/>
    <x v="123"/>
    <n v="59.637000000000008"/>
  </r>
  <r>
    <n v="1157"/>
    <x v="69"/>
    <n v="26"/>
    <x v="14"/>
    <s v="789 26th Street"/>
    <x v="9"/>
    <x v="9"/>
    <n v="99999"/>
    <s v="USA"/>
    <x v="5"/>
    <x v="3"/>
    <n v="41818"/>
    <s v="Shipping Company C"/>
    <s v="Run Liu"/>
    <s v="789 26th Street"/>
    <x v="9"/>
    <s v="FL"/>
    <n v="99999"/>
    <x v="0"/>
    <s v="Credit Card"/>
    <x v="13"/>
    <x v="8"/>
    <n v="18.399999999999999"/>
    <n v="39"/>
    <x v="132"/>
    <n v="71.759999999999991"/>
  </r>
  <r>
    <n v="1158"/>
    <x v="70"/>
    <n v="29"/>
    <x v="4"/>
    <s v="789 29th Street"/>
    <x v="3"/>
    <x v="3"/>
    <n v="99999"/>
    <s v="USA"/>
    <x v="3"/>
    <x v="0"/>
    <n v="41821"/>
    <s v="Shipping Company B"/>
    <s v="Soo Jung Lee"/>
    <s v="789 29th Street"/>
    <x v="3"/>
    <s v="CO"/>
    <n v="99999"/>
    <x v="0"/>
    <s v="Check"/>
    <x v="0"/>
    <x v="0"/>
    <n v="14"/>
    <n v="79"/>
    <x v="133"/>
    <n v="113.91800000000001"/>
  </r>
  <r>
    <n v="1159"/>
    <x v="66"/>
    <n v="6"/>
    <x v="6"/>
    <s v="123 6th Street"/>
    <x v="5"/>
    <x v="5"/>
    <n v="99999"/>
    <s v="USA"/>
    <x v="4"/>
    <x v="2"/>
    <n v="41798"/>
    <s v="Shipping Company C"/>
    <s v="Francisco Pérez-Olaeta"/>
    <s v="123 6th Street"/>
    <x v="5"/>
    <s v="WI"/>
    <n v="99999"/>
    <x v="0"/>
    <s v="Check"/>
    <x v="7"/>
    <x v="3"/>
    <n v="12.75"/>
    <n v="44"/>
    <x v="134"/>
    <n v="57.222000000000001"/>
  </r>
  <r>
    <n v="1161"/>
    <x v="71"/>
    <n v="4"/>
    <x v="1"/>
    <s v="123 4th Street"/>
    <x v="1"/>
    <x v="1"/>
    <n v="99999"/>
    <s v="USA"/>
    <x v="1"/>
    <x v="1"/>
    <n v="41796"/>
    <s v="Shipping Company A"/>
    <s v="Christina Lee"/>
    <s v="123 4th Street"/>
    <x v="1"/>
    <s v="NY"/>
    <n v="99999"/>
    <x v="0"/>
    <s v="Credit Card"/>
    <x v="23"/>
    <x v="6"/>
    <n v="81"/>
    <n v="98"/>
    <x v="135"/>
    <n v="769.98599999999999"/>
  </r>
  <r>
    <n v="1162"/>
    <x v="71"/>
    <n v="4"/>
    <x v="1"/>
    <s v="123 4th Street"/>
    <x v="1"/>
    <x v="1"/>
    <n v="99999"/>
    <s v="USA"/>
    <x v="1"/>
    <x v="1"/>
    <n v="41796"/>
    <s v="Shipping Company A"/>
    <s v="Christina Lee"/>
    <s v="123 4th Street"/>
    <x v="1"/>
    <s v="NY"/>
    <n v="99999"/>
    <x v="0"/>
    <s v="Credit Card"/>
    <x v="24"/>
    <x v="14"/>
    <n v="7"/>
    <n v="61"/>
    <x v="136"/>
    <n v="42.273000000000003"/>
  </r>
  <r>
    <n v="1164"/>
    <x v="67"/>
    <n v="8"/>
    <x v="3"/>
    <s v="123 8th Street"/>
    <x v="2"/>
    <x v="2"/>
    <n v="99999"/>
    <s v="USA"/>
    <x v="2"/>
    <x v="2"/>
    <d v="2014-06-10T00:00:00"/>
    <s v="Shipping Company C"/>
    <s v="Elizabeth Andersen"/>
    <s v="123 8th Street"/>
    <x v="2"/>
    <s v="OR"/>
    <n v="99999"/>
    <x v="0"/>
    <s v="Credit Card"/>
    <x v="15"/>
    <x v="10"/>
    <n v="34.799999999999997"/>
    <n v="30"/>
    <x v="137"/>
    <n v="109.62"/>
  </r>
  <r>
    <n v="1167"/>
    <x v="72"/>
    <n v="3"/>
    <x v="5"/>
    <s v="123 3rd Street"/>
    <x v="4"/>
    <x v="4"/>
    <n v="99999"/>
    <s v="USA"/>
    <x v="0"/>
    <x v="0"/>
    <d v="2014-06-05T00:00:00"/>
    <s v="Shipping Company B"/>
    <s v="Thomas Axerr"/>
    <s v="123 3rd Street"/>
    <x v="4"/>
    <s v="CA"/>
    <n v="99999"/>
    <x v="0"/>
    <s v="Cash"/>
    <x v="16"/>
    <x v="7"/>
    <n v="10"/>
    <n v="24"/>
    <x v="138"/>
    <n v="25.200000000000003"/>
  </r>
  <r>
    <n v="1168"/>
    <x v="72"/>
    <n v="3"/>
    <x v="5"/>
    <s v="123 3rd Street"/>
    <x v="4"/>
    <x v="4"/>
    <n v="99999"/>
    <s v="USA"/>
    <x v="0"/>
    <x v="0"/>
    <d v="2014-06-05T00:00:00"/>
    <s v="Shipping Company B"/>
    <s v="Thomas Axerr"/>
    <s v="123 3rd Street"/>
    <x v="4"/>
    <s v="CA"/>
    <n v="99999"/>
    <x v="0"/>
    <s v="Cash"/>
    <x v="9"/>
    <x v="5"/>
    <n v="40"/>
    <n v="28"/>
    <x v="139"/>
    <n v="109.75999999999999"/>
  </r>
  <r>
    <n v="1172"/>
    <x v="61"/>
    <n v="10"/>
    <x v="8"/>
    <s v="123 10th Street"/>
    <x v="7"/>
    <x v="7"/>
    <n v="99999"/>
    <s v="USA"/>
    <x v="6"/>
    <x v="1"/>
    <d v="2014-06-12T00:00:00"/>
    <s v="Shipping Company B"/>
    <s v="Roland Wacker"/>
    <s v="123 10th Street"/>
    <x v="7"/>
    <s v="IL"/>
    <n v="99999"/>
    <x v="0"/>
    <s v="Credit Card"/>
    <x v="18"/>
    <x v="1"/>
    <n v="10"/>
    <n v="74"/>
    <x v="140"/>
    <n v="71.78"/>
  </r>
  <r>
    <n v="1174"/>
    <x v="61"/>
    <n v="10"/>
    <x v="8"/>
    <s v="123 10th Street"/>
    <x v="7"/>
    <x v="7"/>
    <n v="99999"/>
    <s v="USA"/>
    <x v="6"/>
    <x v="1"/>
    <m/>
    <s v="Shipping Company A"/>
    <s v="Roland Wacker"/>
    <s v="123 10th Street"/>
    <x v="7"/>
    <s v="IL"/>
    <n v="99999"/>
    <x v="0"/>
    <m/>
    <x v="1"/>
    <x v="1"/>
    <n v="3.5"/>
    <n v="90"/>
    <x v="141"/>
    <n v="30.24"/>
  </r>
  <r>
    <n v="1175"/>
    <x v="62"/>
    <n v="11"/>
    <x v="10"/>
    <s v="123 11th Street"/>
    <x v="9"/>
    <x v="9"/>
    <n v="99999"/>
    <s v="USA"/>
    <x v="5"/>
    <x v="3"/>
    <m/>
    <s v="Shipping Company C"/>
    <s v="Peter Krschne"/>
    <s v="123 11th Street"/>
    <x v="9"/>
    <s v="FL"/>
    <n v="99999"/>
    <x v="0"/>
    <m/>
    <x v="9"/>
    <x v="5"/>
    <n v="40"/>
    <n v="27"/>
    <x v="142"/>
    <n v="111.24000000000001"/>
  </r>
  <r>
    <n v="1176"/>
    <x v="63"/>
    <n v="1"/>
    <x v="11"/>
    <s v="123 1st Street"/>
    <x v="10"/>
    <x v="10"/>
    <n v="99999"/>
    <s v="USA"/>
    <x v="2"/>
    <x v="2"/>
    <m/>
    <s v="Shipping Company C"/>
    <s v="Anna Bedecs"/>
    <s v="123 1st Street"/>
    <x v="10"/>
    <s v="WA"/>
    <n v="99999"/>
    <x v="0"/>
    <m/>
    <x v="13"/>
    <x v="8"/>
    <n v="18.399999999999999"/>
    <n v="71"/>
    <x v="143"/>
    <n v="137.172"/>
  </r>
  <r>
    <n v="1177"/>
    <x v="64"/>
    <n v="28"/>
    <x v="7"/>
    <s v="789 28th Street"/>
    <x v="6"/>
    <x v="6"/>
    <n v="99999"/>
    <s v="USA"/>
    <x v="5"/>
    <x v="3"/>
    <d v="2014-06-30T00:00:00"/>
    <s v="Shipping Company C"/>
    <s v="Amritansh Raghav"/>
    <s v="789 28th Street"/>
    <x v="6"/>
    <s v="TN"/>
    <n v="99999"/>
    <x v="0"/>
    <s v="Credit Card"/>
    <x v="5"/>
    <x v="0"/>
    <n v="46"/>
    <n v="74"/>
    <x v="144"/>
    <n v="340.40000000000003"/>
  </r>
  <r>
    <n v="1178"/>
    <x v="65"/>
    <n v="9"/>
    <x v="12"/>
    <s v="123 9th Street"/>
    <x v="11"/>
    <x v="11"/>
    <n v="99999"/>
    <s v="USA"/>
    <x v="7"/>
    <x v="0"/>
    <d v="2014-06-11T00:00:00"/>
    <s v="Shipping Company A"/>
    <s v="Sven Mortensen"/>
    <s v="123 9th Street"/>
    <x v="11"/>
    <s v="UT"/>
    <n v="99999"/>
    <x v="0"/>
    <s v="Check"/>
    <x v="8"/>
    <x v="4"/>
    <n v="9.65"/>
    <n v="76"/>
    <x v="145"/>
    <n v="72.6066"/>
  </r>
  <r>
    <n v="1179"/>
    <x v="66"/>
    <n v="6"/>
    <x v="6"/>
    <s v="123 6th Street"/>
    <x v="5"/>
    <x v="5"/>
    <n v="99999"/>
    <s v="USA"/>
    <x v="4"/>
    <x v="2"/>
    <d v="2014-06-08T00:00:00"/>
    <s v="Shipping Company B"/>
    <s v="Francisco Pérez-Olaeta"/>
    <s v="123 6th Street"/>
    <x v="5"/>
    <s v="WI"/>
    <n v="99999"/>
    <x v="0"/>
    <s v="Credit Card"/>
    <x v="7"/>
    <x v="3"/>
    <n v="12.75"/>
    <n v="96"/>
    <x v="146"/>
    <n v="123.62400000000001"/>
  </r>
  <r>
    <n v="1180"/>
    <x v="67"/>
    <n v="8"/>
    <x v="3"/>
    <s v="123 8th Street"/>
    <x v="2"/>
    <x v="2"/>
    <n v="99999"/>
    <s v="USA"/>
    <x v="2"/>
    <x v="2"/>
    <d v="2014-06-10T00:00:00"/>
    <s v="Shipping Company B"/>
    <s v="Elizabeth Andersen"/>
    <s v="123 8th Street"/>
    <x v="2"/>
    <s v="OR"/>
    <n v="99999"/>
    <x v="0"/>
    <s v="Check"/>
    <x v="7"/>
    <x v="3"/>
    <n v="12.75"/>
    <n v="92"/>
    <x v="147"/>
    <n v="116.12700000000001"/>
  </r>
  <r>
    <n v="1181"/>
    <x v="68"/>
    <n v="25"/>
    <x v="13"/>
    <s v="789 25th Street"/>
    <x v="7"/>
    <x v="7"/>
    <n v="99999"/>
    <s v="USA"/>
    <x v="6"/>
    <x v="1"/>
    <d v="2014-06-27T00:00:00"/>
    <s v="Shipping Company A"/>
    <s v="John Rodman"/>
    <s v="789 25th Street"/>
    <x v="7"/>
    <s v="IL"/>
    <n v="99999"/>
    <x v="0"/>
    <s v="Cash"/>
    <x v="12"/>
    <x v="7"/>
    <n v="22"/>
    <n v="93"/>
    <x v="148"/>
    <n v="200.50800000000001"/>
  </r>
  <r>
    <n v="1182"/>
    <x v="69"/>
    <n v="26"/>
    <x v="14"/>
    <s v="789 26th Street"/>
    <x v="9"/>
    <x v="9"/>
    <n v="99999"/>
    <s v="USA"/>
    <x v="5"/>
    <x v="3"/>
    <d v="2014-06-28T00:00:00"/>
    <s v="Shipping Company C"/>
    <s v="Run Liu"/>
    <s v="789 26th Street"/>
    <x v="9"/>
    <s v="FL"/>
    <n v="99999"/>
    <x v="0"/>
    <s v="Credit Card"/>
    <x v="11"/>
    <x v="6"/>
    <n v="25"/>
    <n v="18"/>
    <x v="149"/>
    <n v="42.75"/>
  </r>
  <r>
    <n v="1183"/>
    <x v="70"/>
    <n v="29"/>
    <x v="4"/>
    <s v="789 29th Street"/>
    <x v="3"/>
    <x v="3"/>
    <n v="99999"/>
    <s v="USA"/>
    <x v="3"/>
    <x v="0"/>
    <d v="2014-07-01T00:00:00"/>
    <s v="Shipping Company B"/>
    <s v="Soo Jung Lee"/>
    <s v="789 29th Street"/>
    <x v="3"/>
    <s v="CO"/>
    <n v="99999"/>
    <x v="0"/>
    <s v="Check"/>
    <x v="19"/>
    <x v="12"/>
    <n v="39"/>
    <n v="98"/>
    <x v="150"/>
    <n v="397.48800000000006"/>
  </r>
  <r>
    <n v="1184"/>
    <x v="66"/>
    <n v="6"/>
    <x v="6"/>
    <s v="123 6th Street"/>
    <x v="5"/>
    <x v="5"/>
    <n v="99999"/>
    <s v="USA"/>
    <x v="4"/>
    <x v="2"/>
    <d v="2014-06-08T00:00:00"/>
    <s v="Shipping Company C"/>
    <s v="Francisco Pérez-Olaeta"/>
    <s v="123 6th Street"/>
    <x v="5"/>
    <s v="WI"/>
    <n v="99999"/>
    <x v="0"/>
    <s v="Check"/>
    <x v="2"/>
    <x v="1"/>
    <n v="30"/>
    <n v="46"/>
    <x v="65"/>
    <n v="135.24"/>
  </r>
  <r>
    <n v="1185"/>
    <x v="66"/>
    <n v="6"/>
    <x v="6"/>
    <s v="123 6th Street"/>
    <x v="5"/>
    <x v="5"/>
    <n v="99999"/>
    <s v="USA"/>
    <x v="4"/>
    <x v="2"/>
    <d v="2014-06-08T00:00:00"/>
    <s v="Shipping Company C"/>
    <s v="Francisco Pérez-Olaeta"/>
    <s v="123 6th Street"/>
    <x v="5"/>
    <s v="WI"/>
    <n v="99999"/>
    <x v="0"/>
    <s v="Check"/>
    <x v="3"/>
    <x v="1"/>
    <n v="53"/>
    <n v="14"/>
    <x v="48"/>
    <n v="74.2"/>
  </r>
  <r>
    <n v="1186"/>
    <x v="71"/>
    <n v="4"/>
    <x v="1"/>
    <s v="123 4th Street"/>
    <x v="1"/>
    <x v="1"/>
    <n v="99999"/>
    <s v="USA"/>
    <x v="1"/>
    <x v="1"/>
    <m/>
    <m/>
    <s v="Christina Lee"/>
    <s v="123 4th Street"/>
    <x v="1"/>
    <s v="NY"/>
    <n v="99999"/>
    <x v="0"/>
    <m/>
    <x v="20"/>
    <x v="9"/>
    <n v="38"/>
    <n v="85"/>
    <x v="151"/>
    <n v="319.77"/>
  </r>
  <r>
    <n v="1187"/>
    <x v="72"/>
    <n v="3"/>
    <x v="5"/>
    <s v="123 3rd Street"/>
    <x v="4"/>
    <x v="4"/>
    <n v="99999"/>
    <s v="USA"/>
    <x v="0"/>
    <x v="0"/>
    <m/>
    <m/>
    <s v="Thomas Axerr"/>
    <s v="123 3rd Street"/>
    <x v="4"/>
    <s v="CA"/>
    <n v="99999"/>
    <x v="0"/>
    <m/>
    <x v="10"/>
    <x v="0"/>
    <n v="2.99"/>
    <n v="88"/>
    <x v="76"/>
    <n v="25.522639999999999"/>
  </r>
  <r>
    <n v="1188"/>
    <x v="73"/>
    <n v="1"/>
    <x v="11"/>
    <s v="123 1st Street"/>
    <x v="10"/>
    <x v="10"/>
    <n v="99999"/>
    <s v="USA"/>
    <x v="2"/>
    <x v="2"/>
    <m/>
    <m/>
    <s v="Anna Bedecs"/>
    <s v="123 1st Street"/>
    <x v="10"/>
    <s v="WA"/>
    <n v="99999"/>
    <x v="0"/>
    <m/>
    <x v="10"/>
    <x v="0"/>
    <n v="2.99"/>
    <n v="81"/>
    <x v="152"/>
    <n v="23.976810000000004"/>
  </r>
  <r>
    <n v="1189"/>
    <x v="74"/>
    <n v="28"/>
    <x v="7"/>
    <s v="789 28th Street"/>
    <x v="6"/>
    <x v="6"/>
    <n v="99999"/>
    <s v="USA"/>
    <x v="5"/>
    <x v="3"/>
    <d v="2014-07-30T00:00:00"/>
    <s v="Shipping Company C"/>
    <s v="Amritansh Raghav"/>
    <s v="789 28th Street"/>
    <x v="6"/>
    <s v="TN"/>
    <n v="99999"/>
    <x v="0"/>
    <s v="Credit Card"/>
    <x v="8"/>
    <x v="4"/>
    <n v="9.65"/>
    <n v="33"/>
    <x v="153"/>
    <n v="30.252749999999999"/>
  </r>
  <r>
    <n v="1190"/>
    <x v="74"/>
    <n v="28"/>
    <x v="7"/>
    <s v="789 28th Street"/>
    <x v="6"/>
    <x v="6"/>
    <n v="99999"/>
    <s v="USA"/>
    <x v="5"/>
    <x v="3"/>
    <d v="2014-07-30T00:00:00"/>
    <s v="Shipping Company C"/>
    <s v="Amritansh Raghav"/>
    <s v="789 28th Street"/>
    <x v="6"/>
    <s v="TN"/>
    <n v="99999"/>
    <x v="0"/>
    <s v="Credit Card"/>
    <x v="13"/>
    <x v="8"/>
    <n v="18.399999999999999"/>
    <n v="47"/>
    <x v="154"/>
    <n v="90.804000000000002"/>
  </r>
  <r>
    <n v="1191"/>
    <x v="75"/>
    <n v="9"/>
    <x v="12"/>
    <s v="123 9th Street"/>
    <x v="11"/>
    <x v="11"/>
    <n v="99999"/>
    <s v="USA"/>
    <x v="7"/>
    <x v="0"/>
    <d v="2014-07-11T00:00:00"/>
    <s v="Shipping Company A"/>
    <s v="Sven Mortensen"/>
    <s v="123 9th Street"/>
    <x v="11"/>
    <s v="UT"/>
    <n v="99999"/>
    <x v="0"/>
    <s v="Check"/>
    <x v="14"/>
    <x v="9"/>
    <n v="19.5"/>
    <n v="61"/>
    <x v="155"/>
    <n v="123.70800000000001"/>
  </r>
  <r>
    <n v="1192"/>
    <x v="75"/>
    <n v="9"/>
    <x v="12"/>
    <s v="123 9th Street"/>
    <x v="11"/>
    <x v="11"/>
    <n v="99999"/>
    <s v="USA"/>
    <x v="7"/>
    <x v="0"/>
    <d v="2014-07-11T00:00:00"/>
    <s v="Shipping Company A"/>
    <s v="Sven Mortensen"/>
    <s v="123 9th Street"/>
    <x v="11"/>
    <s v="UT"/>
    <n v="99999"/>
    <x v="0"/>
    <s v="Check"/>
    <x v="15"/>
    <x v="10"/>
    <n v="34.799999999999997"/>
    <n v="27"/>
    <x v="156"/>
    <n v="95.839199999999991"/>
  </r>
  <r>
    <n v="1193"/>
    <x v="76"/>
    <n v="6"/>
    <x v="6"/>
    <s v="123 6th Street"/>
    <x v="5"/>
    <x v="5"/>
    <n v="99999"/>
    <s v="USA"/>
    <x v="4"/>
    <x v="2"/>
    <d v="2014-07-08T00:00:00"/>
    <s v="Shipping Company B"/>
    <s v="Francisco Pérez-Olaeta"/>
    <s v="123 6th Street"/>
    <x v="5"/>
    <s v="WI"/>
    <n v="99999"/>
    <x v="0"/>
    <s v="Credit Card"/>
    <x v="0"/>
    <x v="0"/>
    <n v="14"/>
    <n v="84"/>
    <x v="102"/>
    <n v="118.77600000000001"/>
  </r>
  <r>
    <n v="1194"/>
    <x v="77"/>
    <n v="8"/>
    <x v="3"/>
    <s v="123 8th Street"/>
    <x v="2"/>
    <x v="2"/>
    <n v="99999"/>
    <s v="USA"/>
    <x v="2"/>
    <x v="2"/>
    <d v="2014-07-10T00:00:00"/>
    <s v="Shipping Company B"/>
    <s v="Elizabeth Andersen"/>
    <s v="123 8th Street"/>
    <x v="2"/>
    <s v="OR"/>
    <n v="99999"/>
    <x v="0"/>
    <s v="Check"/>
    <x v="9"/>
    <x v="5"/>
    <n v="40"/>
    <n v="91"/>
    <x v="157"/>
    <n v="360.36"/>
  </r>
  <r>
    <n v="1195"/>
    <x v="77"/>
    <n v="8"/>
    <x v="3"/>
    <s v="123 8th Street"/>
    <x v="2"/>
    <x v="2"/>
    <n v="99999"/>
    <s v="USA"/>
    <x v="2"/>
    <x v="2"/>
    <d v="2014-07-10T00:00:00"/>
    <s v="Shipping Company B"/>
    <s v="Elizabeth Andersen"/>
    <s v="123 8th Street"/>
    <x v="2"/>
    <s v="OR"/>
    <n v="99999"/>
    <x v="0"/>
    <s v="Check"/>
    <x v="6"/>
    <x v="2"/>
    <n v="9.1999999999999993"/>
    <n v="36"/>
    <x v="158"/>
    <n v="34.444800000000001"/>
  </r>
  <r>
    <n v="1196"/>
    <x v="78"/>
    <n v="25"/>
    <x v="13"/>
    <s v="789 25th Street"/>
    <x v="7"/>
    <x v="7"/>
    <n v="99999"/>
    <s v="USA"/>
    <x v="6"/>
    <x v="1"/>
    <n v="41847"/>
    <s v="Shipping Company A"/>
    <s v="John Rodman"/>
    <s v="789 25th Street"/>
    <x v="7"/>
    <s v="IL"/>
    <n v="99999"/>
    <x v="0"/>
    <s v="Cash"/>
    <x v="21"/>
    <x v="2"/>
    <n v="10"/>
    <n v="34"/>
    <x v="159"/>
    <n v="34.340000000000003"/>
  </r>
  <r>
    <n v="1197"/>
    <x v="79"/>
    <n v="26"/>
    <x v="14"/>
    <s v="789 26th Street"/>
    <x v="9"/>
    <x v="9"/>
    <n v="99999"/>
    <s v="USA"/>
    <x v="5"/>
    <x v="3"/>
    <n v="41848"/>
    <s v="Shipping Company C"/>
    <s v="Run Liu"/>
    <s v="789 26th Street"/>
    <x v="9"/>
    <s v="FL"/>
    <n v="99999"/>
    <x v="0"/>
    <s v="Credit Card"/>
    <x v="22"/>
    <x v="13"/>
    <n v="21.35"/>
    <n v="81"/>
    <x v="160"/>
    <n v="178.12305000000003"/>
  </r>
  <r>
    <n v="1198"/>
    <x v="79"/>
    <n v="26"/>
    <x v="14"/>
    <s v="789 26th Street"/>
    <x v="9"/>
    <x v="9"/>
    <n v="99999"/>
    <s v="USA"/>
    <x v="5"/>
    <x v="3"/>
    <n v="41848"/>
    <s v="Shipping Company C"/>
    <s v="Run Liu"/>
    <s v="789 26th Street"/>
    <x v="9"/>
    <s v="FL"/>
    <n v="99999"/>
    <x v="0"/>
    <s v="Credit Card"/>
    <x v="8"/>
    <x v="4"/>
    <n v="9.65"/>
    <n v="25"/>
    <x v="161"/>
    <n v="23.401250000000001"/>
  </r>
  <r>
    <n v="1199"/>
    <x v="79"/>
    <n v="26"/>
    <x v="14"/>
    <s v="789 26th Street"/>
    <x v="9"/>
    <x v="9"/>
    <n v="99999"/>
    <s v="USA"/>
    <x v="5"/>
    <x v="3"/>
    <n v="41848"/>
    <s v="Shipping Company C"/>
    <s v="Run Liu"/>
    <s v="789 26th Street"/>
    <x v="9"/>
    <s v="FL"/>
    <n v="99999"/>
    <x v="0"/>
    <s v="Credit Card"/>
    <x v="13"/>
    <x v="8"/>
    <n v="18.399999999999999"/>
    <n v="12"/>
    <x v="162"/>
    <n v="22.08"/>
  </r>
  <r>
    <n v="1200"/>
    <x v="80"/>
    <n v="29"/>
    <x v="4"/>
    <s v="789 29th Street"/>
    <x v="3"/>
    <x v="3"/>
    <n v="99999"/>
    <s v="USA"/>
    <x v="3"/>
    <x v="0"/>
    <d v="2014-07-31T00:00:00"/>
    <s v="Shipping Company B"/>
    <s v="Soo Jung Lee"/>
    <s v="789 29th Street"/>
    <x v="3"/>
    <s v="CO"/>
    <n v="99999"/>
    <x v="0"/>
    <s v="Check"/>
    <x v="0"/>
    <x v="0"/>
    <n v="14"/>
    <n v="23"/>
    <x v="163"/>
    <n v="30.912000000000003"/>
  </r>
  <r>
    <n v="1201"/>
    <x v="76"/>
    <n v="6"/>
    <x v="6"/>
    <s v="123 6th Street"/>
    <x v="5"/>
    <x v="5"/>
    <n v="99999"/>
    <s v="USA"/>
    <x v="4"/>
    <x v="2"/>
    <d v="2014-07-08T00:00:00"/>
    <s v="Shipping Company C"/>
    <s v="Francisco Pérez-Olaeta"/>
    <s v="123 6th Street"/>
    <x v="5"/>
    <s v="WI"/>
    <n v="99999"/>
    <x v="0"/>
    <s v="Check"/>
    <x v="7"/>
    <x v="3"/>
    <n v="12.75"/>
    <n v="76"/>
    <x v="164"/>
    <n v="97.869"/>
  </r>
  <r>
    <n v="1203"/>
    <x v="81"/>
    <n v="4"/>
    <x v="1"/>
    <s v="123 4th Street"/>
    <x v="1"/>
    <x v="1"/>
    <n v="99999"/>
    <s v="USA"/>
    <x v="1"/>
    <x v="1"/>
    <d v="2014-07-06T00:00:00"/>
    <s v="Shipping Company A"/>
    <s v="Christina Lee"/>
    <s v="123 4th Street"/>
    <x v="1"/>
    <s v="NY"/>
    <n v="99999"/>
    <x v="0"/>
    <s v="Credit Card"/>
    <x v="23"/>
    <x v="6"/>
    <n v="81"/>
    <n v="55"/>
    <x v="165"/>
    <n v="445.5"/>
  </r>
  <r>
    <n v="1204"/>
    <x v="81"/>
    <n v="4"/>
    <x v="1"/>
    <s v="123 4th Street"/>
    <x v="1"/>
    <x v="1"/>
    <n v="99999"/>
    <s v="USA"/>
    <x v="1"/>
    <x v="1"/>
    <d v="2014-07-06T00:00:00"/>
    <s v="Shipping Company A"/>
    <s v="Christina Lee"/>
    <s v="123 4th Street"/>
    <x v="1"/>
    <s v="NY"/>
    <n v="99999"/>
    <x v="0"/>
    <s v="Credit Card"/>
    <x v="24"/>
    <x v="14"/>
    <n v="7"/>
    <n v="19"/>
    <x v="166"/>
    <n v="12.901"/>
  </r>
  <r>
    <n v="1206"/>
    <x v="77"/>
    <n v="8"/>
    <x v="3"/>
    <s v="123 8th Street"/>
    <x v="2"/>
    <x v="2"/>
    <n v="99999"/>
    <s v="USA"/>
    <x v="2"/>
    <x v="2"/>
    <d v="2014-07-10T00:00:00"/>
    <s v="Shipping Company C"/>
    <s v="Elizabeth Andersen"/>
    <s v="123 8th Street"/>
    <x v="2"/>
    <s v="OR"/>
    <n v="99999"/>
    <x v="0"/>
    <s v="Credit Card"/>
    <x v="15"/>
    <x v="10"/>
    <n v="34.799999999999997"/>
    <n v="27"/>
    <x v="156"/>
    <n v="89.261999999999986"/>
  </r>
  <r>
    <n v="1209"/>
    <x v="82"/>
    <n v="3"/>
    <x v="5"/>
    <s v="123 3rd Street"/>
    <x v="4"/>
    <x v="4"/>
    <n v="99999"/>
    <s v="USA"/>
    <x v="0"/>
    <x v="0"/>
    <d v="2014-07-05T00:00:00"/>
    <s v="Shipping Company B"/>
    <s v="Thomas Axerr"/>
    <s v="123 3rd Street"/>
    <x v="4"/>
    <s v="CA"/>
    <n v="99999"/>
    <x v="0"/>
    <s v="Cash"/>
    <x v="16"/>
    <x v="7"/>
    <n v="10"/>
    <n v="99"/>
    <x v="82"/>
    <n v="95.039999999999992"/>
  </r>
  <r>
    <n v="1210"/>
    <x v="82"/>
    <n v="3"/>
    <x v="5"/>
    <s v="123 3rd Street"/>
    <x v="4"/>
    <x v="4"/>
    <n v="99999"/>
    <s v="USA"/>
    <x v="0"/>
    <x v="0"/>
    <d v="2014-07-05T00:00:00"/>
    <s v="Shipping Company B"/>
    <s v="Thomas Axerr"/>
    <s v="123 3rd Street"/>
    <x v="4"/>
    <s v="CA"/>
    <n v="99999"/>
    <x v="0"/>
    <s v="Cash"/>
    <x v="9"/>
    <x v="5"/>
    <n v="40"/>
    <n v="10"/>
    <x v="167"/>
    <n v="40"/>
  </r>
  <r>
    <n v="1214"/>
    <x v="83"/>
    <n v="10"/>
    <x v="8"/>
    <s v="123 10th Street"/>
    <x v="7"/>
    <x v="7"/>
    <n v="99999"/>
    <s v="USA"/>
    <x v="6"/>
    <x v="1"/>
    <d v="2014-07-12T00:00:00"/>
    <s v="Shipping Company B"/>
    <s v="Roland Wacker"/>
    <s v="123 10th Street"/>
    <x v="7"/>
    <s v="IL"/>
    <n v="99999"/>
    <x v="0"/>
    <s v="Credit Card"/>
    <x v="18"/>
    <x v="1"/>
    <n v="10"/>
    <n v="80"/>
    <x v="168"/>
    <n v="77.599999999999994"/>
  </r>
  <r>
    <n v="1216"/>
    <x v="83"/>
    <n v="10"/>
    <x v="8"/>
    <s v="123 10th Street"/>
    <x v="7"/>
    <x v="7"/>
    <n v="99999"/>
    <s v="USA"/>
    <x v="6"/>
    <x v="1"/>
    <m/>
    <s v="Shipping Company A"/>
    <s v="Roland Wacker"/>
    <s v="123 10th Street"/>
    <x v="7"/>
    <s v="IL"/>
    <n v="99999"/>
    <x v="0"/>
    <m/>
    <x v="1"/>
    <x v="1"/>
    <n v="3.5"/>
    <n v="27"/>
    <x v="169"/>
    <n v="9.072000000000001"/>
  </r>
  <r>
    <n v="1217"/>
    <x v="84"/>
    <n v="11"/>
    <x v="10"/>
    <s v="123 11th Street"/>
    <x v="9"/>
    <x v="9"/>
    <n v="99999"/>
    <s v="USA"/>
    <x v="5"/>
    <x v="3"/>
    <m/>
    <s v="Shipping Company C"/>
    <s v="Peter Krschne"/>
    <s v="123 11th Street"/>
    <x v="9"/>
    <s v="FL"/>
    <n v="99999"/>
    <x v="0"/>
    <m/>
    <x v="9"/>
    <x v="5"/>
    <n v="40"/>
    <n v="97"/>
    <x v="170"/>
    <n v="380.24"/>
  </r>
  <r>
    <n v="1218"/>
    <x v="73"/>
    <n v="1"/>
    <x v="11"/>
    <s v="123 1st Street"/>
    <x v="10"/>
    <x v="10"/>
    <n v="99999"/>
    <s v="USA"/>
    <x v="2"/>
    <x v="2"/>
    <m/>
    <s v="Shipping Company C"/>
    <s v="Anna Bedecs"/>
    <s v="123 1st Street"/>
    <x v="10"/>
    <s v="WA"/>
    <n v="99999"/>
    <x v="0"/>
    <m/>
    <x v="13"/>
    <x v="8"/>
    <n v="18.399999999999999"/>
    <n v="42"/>
    <x v="171"/>
    <n v="80.371200000000002"/>
  </r>
  <r>
    <n v="1219"/>
    <x v="74"/>
    <n v="28"/>
    <x v="7"/>
    <s v="789 28th Street"/>
    <x v="6"/>
    <x v="6"/>
    <n v="99999"/>
    <s v="USA"/>
    <x v="5"/>
    <x v="3"/>
    <n v="41850"/>
    <s v="Shipping Company C"/>
    <s v="Amritansh Raghav"/>
    <s v="789 28th Street"/>
    <x v="6"/>
    <s v="TN"/>
    <n v="99999"/>
    <x v="0"/>
    <s v="Credit Card"/>
    <x v="5"/>
    <x v="0"/>
    <n v="46"/>
    <n v="24"/>
    <x v="15"/>
    <n v="105.98399999999999"/>
  </r>
  <r>
    <n v="1220"/>
    <x v="75"/>
    <n v="9"/>
    <x v="12"/>
    <s v="123 9th Street"/>
    <x v="11"/>
    <x v="11"/>
    <n v="99999"/>
    <s v="USA"/>
    <x v="7"/>
    <x v="0"/>
    <d v="2014-07-11T00:00:00"/>
    <s v="Shipping Company A"/>
    <s v="Sven Mortensen"/>
    <s v="123 9th Street"/>
    <x v="11"/>
    <s v="UT"/>
    <n v="99999"/>
    <x v="0"/>
    <s v="Check"/>
    <x v="8"/>
    <x v="4"/>
    <n v="9.65"/>
    <n v="90"/>
    <x v="172"/>
    <n v="83.376000000000005"/>
  </r>
  <r>
    <n v="1221"/>
    <x v="76"/>
    <n v="6"/>
    <x v="6"/>
    <s v="123 6th Street"/>
    <x v="5"/>
    <x v="5"/>
    <n v="99999"/>
    <s v="USA"/>
    <x v="4"/>
    <x v="2"/>
    <d v="2014-07-08T00:00:00"/>
    <s v="Shipping Company B"/>
    <s v="Francisco Pérez-Olaeta"/>
    <s v="123 6th Street"/>
    <x v="5"/>
    <s v="WI"/>
    <n v="99999"/>
    <x v="0"/>
    <s v="Credit Card"/>
    <x v="7"/>
    <x v="3"/>
    <n v="12.75"/>
    <n v="28"/>
    <x v="173"/>
    <n v="35.700000000000003"/>
  </r>
  <r>
    <n v="1222"/>
    <x v="85"/>
    <n v="28"/>
    <x v="7"/>
    <s v="789 28th Street"/>
    <x v="6"/>
    <x v="6"/>
    <n v="99999"/>
    <s v="USA"/>
    <x v="5"/>
    <x v="3"/>
    <d v="2014-08-30T00:00:00"/>
    <s v="Shipping Company C"/>
    <s v="Amritansh Raghav"/>
    <s v="789 28th Street"/>
    <x v="6"/>
    <s v="TN"/>
    <n v="99999"/>
    <x v="0"/>
    <s v="Check"/>
    <x v="5"/>
    <x v="0"/>
    <n v="46"/>
    <n v="28"/>
    <x v="174"/>
    <n v="133.95200000000003"/>
  </r>
  <r>
    <n v="1223"/>
    <x v="86"/>
    <n v="8"/>
    <x v="3"/>
    <s v="123 8th Street"/>
    <x v="2"/>
    <x v="2"/>
    <n v="99999"/>
    <s v="USA"/>
    <x v="2"/>
    <x v="2"/>
    <d v="2014-08-10T00:00:00"/>
    <s v="Shipping Company C"/>
    <s v="Elizabeth Andersen"/>
    <s v="123 8th Street"/>
    <x v="2"/>
    <s v="OR"/>
    <n v="99999"/>
    <x v="0"/>
    <s v="Check"/>
    <x v="7"/>
    <x v="3"/>
    <n v="12.75"/>
    <n v="57"/>
    <x v="175"/>
    <n v="69.768000000000001"/>
  </r>
  <r>
    <n v="1224"/>
    <x v="87"/>
    <n v="10"/>
    <x v="8"/>
    <s v="123 10th Street"/>
    <x v="7"/>
    <x v="7"/>
    <n v="99999"/>
    <s v="USA"/>
    <x v="6"/>
    <x v="1"/>
    <d v="2014-08-12T00:00:00"/>
    <s v="Shipping Company B"/>
    <s v="Roland Wacker"/>
    <s v="123 10th Street"/>
    <x v="7"/>
    <s v="IL"/>
    <n v="99999"/>
    <x v="0"/>
    <s v="Credit Card"/>
    <x v="10"/>
    <x v="0"/>
    <n v="2.99"/>
    <n v="23"/>
    <x v="176"/>
    <n v="6.6706900000000013"/>
  </r>
  <r>
    <n v="1225"/>
    <x v="88"/>
    <n v="7"/>
    <x v="9"/>
    <s v="123 7th Street"/>
    <x v="8"/>
    <x v="8"/>
    <n v="99999"/>
    <s v="USA"/>
    <x v="2"/>
    <x v="2"/>
    <m/>
    <m/>
    <s v="Ming-Yang Xie"/>
    <s v="123 7th Street"/>
    <x v="8"/>
    <s v="ID"/>
    <n v="99999"/>
    <x v="0"/>
    <m/>
    <x v="5"/>
    <x v="0"/>
    <n v="46"/>
    <n v="86"/>
    <x v="177"/>
    <n v="399.55600000000004"/>
  </r>
  <r>
    <n v="1226"/>
    <x v="87"/>
    <n v="10"/>
    <x v="8"/>
    <s v="123 10th Street"/>
    <x v="7"/>
    <x v="7"/>
    <n v="99999"/>
    <s v="USA"/>
    <x v="6"/>
    <x v="1"/>
    <d v="2014-08-12T00:00:00"/>
    <s v="Shipping Company A"/>
    <s v="Roland Wacker"/>
    <s v="123 10th Street"/>
    <x v="7"/>
    <s v="IL"/>
    <n v="99999"/>
    <x v="0"/>
    <m/>
    <x v="11"/>
    <x v="6"/>
    <n v="25"/>
    <n v="47"/>
    <x v="178"/>
    <n v="116.325"/>
  </r>
  <r>
    <n v="1227"/>
    <x v="87"/>
    <n v="10"/>
    <x v="8"/>
    <s v="123 10th Street"/>
    <x v="7"/>
    <x v="7"/>
    <n v="99999"/>
    <s v="USA"/>
    <x v="6"/>
    <x v="1"/>
    <d v="2014-08-12T00:00:00"/>
    <s v="Shipping Company A"/>
    <s v="Roland Wacker"/>
    <s v="123 10th Street"/>
    <x v="7"/>
    <s v="IL"/>
    <n v="99999"/>
    <x v="0"/>
    <m/>
    <x v="12"/>
    <x v="7"/>
    <n v="22"/>
    <n v="97"/>
    <x v="179"/>
    <n v="221.93600000000001"/>
  </r>
  <r>
    <n v="1228"/>
    <x v="87"/>
    <n v="10"/>
    <x v="8"/>
    <s v="123 10th Street"/>
    <x v="7"/>
    <x v="7"/>
    <n v="99999"/>
    <s v="USA"/>
    <x v="6"/>
    <x v="1"/>
    <d v="2014-08-12T00:00:00"/>
    <s v="Shipping Company A"/>
    <s v="Roland Wacker"/>
    <s v="123 10th Street"/>
    <x v="7"/>
    <s v="IL"/>
    <n v="99999"/>
    <x v="0"/>
    <m/>
    <x v="6"/>
    <x v="2"/>
    <n v="9.1999999999999993"/>
    <n v="96"/>
    <x v="180"/>
    <n v="86.553599999999989"/>
  </r>
  <r>
    <n v="1229"/>
    <x v="89"/>
    <n v="11"/>
    <x v="10"/>
    <s v="123 11th Street"/>
    <x v="9"/>
    <x v="9"/>
    <n v="99999"/>
    <s v="USA"/>
    <x v="5"/>
    <x v="3"/>
    <m/>
    <s v="Shipping Company C"/>
    <s v="Peter Krschne"/>
    <s v="123 11th Street"/>
    <x v="9"/>
    <s v="FL"/>
    <n v="99999"/>
    <x v="0"/>
    <m/>
    <x v="1"/>
    <x v="1"/>
    <n v="3.5"/>
    <n v="31"/>
    <x v="181"/>
    <n v="10.850000000000001"/>
  </r>
  <r>
    <n v="1230"/>
    <x v="89"/>
    <n v="11"/>
    <x v="10"/>
    <s v="123 11th Street"/>
    <x v="9"/>
    <x v="9"/>
    <n v="99999"/>
    <s v="USA"/>
    <x v="5"/>
    <x v="3"/>
    <m/>
    <s v="Shipping Company C"/>
    <s v="Peter Krschne"/>
    <s v="123 11th Street"/>
    <x v="9"/>
    <s v="FL"/>
    <n v="99999"/>
    <x v="0"/>
    <m/>
    <x v="10"/>
    <x v="0"/>
    <n v="2.99"/>
    <n v="52"/>
    <x v="182"/>
    <n v="16.014440000000004"/>
  </r>
  <r>
    <n v="1231"/>
    <x v="90"/>
    <n v="1"/>
    <x v="11"/>
    <s v="123 1st Street"/>
    <x v="10"/>
    <x v="10"/>
    <n v="99999"/>
    <s v="USA"/>
    <x v="2"/>
    <x v="2"/>
    <m/>
    <m/>
    <s v="Anna Bedecs"/>
    <s v="123 1st Street"/>
    <x v="10"/>
    <s v="WA"/>
    <n v="99999"/>
    <x v="0"/>
    <m/>
    <x v="4"/>
    <x v="0"/>
    <n v="18"/>
    <n v="91"/>
    <x v="183"/>
    <n v="158.886"/>
  </r>
  <r>
    <n v="1232"/>
    <x v="90"/>
    <n v="1"/>
    <x v="11"/>
    <s v="123 1st Street"/>
    <x v="10"/>
    <x v="10"/>
    <n v="99999"/>
    <s v="USA"/>
    <x v="2"/>
    <x v="2"/>
    <m/>
    <m/>
    <s v="Anna Bedecs"/>
    <s v="123 1st Street"/>
    <x v="10"/>
    <s v="WA"/>
    <n v="99999"/>
    <x v="0"/>
    <m/>
    <x v="5"/>
    <x v="0"/>
    <n v="46"/>
    <n v="14"/>
    <x v="184"/>
    <n v="63.756000000000007"/>
  </r>
  <r>
    <n v="1233"/>
    <x v="90"/>
    <n v="1"/>
    <x v="11"/>
    <s v="123 1st Street"/>
    <x v="10"/>
    <x v="10"/>
    <n v="99999"/>
    <s v="USA"/>
    <x v="2"/>
    <x v="2"/>
    <m/>
    <m/>
    <s v="Anna Bedecs"/>
    <s v="123 1st Street"/>
    <x v="10"/>
    <s v="WA"/>
    <n v="99999"/>
    <x v="0"/>
    <m/>
    <x v="10"/>
    <x v="0"/>
    <n v="2.99"/>
    <n v="44"/>
    <x v="185"/>
    <n v="13.287560000000001"/>
  </r>
  <r>
    <n v="1234"/>
    <x v="85"/>
    <n v="28"/>
    <x v="7"/>
    <s v="789 28th Street"/>
    <x v="6"/>
    <x v="6"/>
    <n v="99999"/>
    <s v="USA"/>
    <x v="5"/>
    <x v="3"/>
    <d v="2014-08-30T00:00:00"/>
    <s v="Shipping Company C"/>
    <s v="Amritansh Raghav"/>
    <s v="789 28th Street"/>
    <x v="6"/>
    <s v="TN"/>
    <n v="99999"/>
    <x v="0"/>
    <s v="Credit Card"/>
    <x v="8"/>
    <x v="4"/>
    <n v="9.65"/>
    <n v="97"/>
    <x v="53"/>
    <n v="95.477100000000021"/>
  </r>
  <r>
    <n v="1235"/>
    <x v="85"/>
    <n v="28"/>
    <x v="7"/>
    <s v="789 28th Street"/>
    <x v="6"/>
    <x v="6"/>
    <n v="99999"/>
    <s v="USA"/>
    <x v="5"/>
    <x v="3"/>
    <d v="2014-08-30T00:00:00"/>
    <s v="Shipping Company C"/>
    <s v="Amritansh Raghav"/>
    <s v="789 28th Street"/>
    <x v="6"/>
    <s v="TN"/>
    <n v="99999"/>
    <x v="0"/>
    <s v="Credit Card"/>
    <x v="13"/>
    <x v="8"/>
    <n v="18.399999999999999"/>
    <n v="80"/>
    <x v="36"/>
    <n v="150.14400000000003"/>
  </r>
  <r>
    <n v="1236"/>
    <x v="91"/>
    <n v="9"/>
    <x v="12"/>
    <s v="123 9th Street"/>
    <x v="11"/>
    <x v="11"/>
    <n v="99999"/>
    <s v="USA"/>
    <x v="7"/>
    <x v="0"/>
    <d v="2014-08-11T00:00:00"/>
    <s v="Shipping Company A"/>
    <s v="Sven Mortensen"/>
    <s v="123 9th Street"/>
    <x v="11"/>
    <s v="UT"/>
    <n v="99999"/>
    <x v="0"/>
    <s v="Check"/>
    <x v="14"/>
    <x v="9"/>
    <n v="19.5"/>
    <n v="66"/>
    <x v="186"/>
    <n v="132.56100000000001"/>
  </r>
  <r>
    <n v="1237"/>
    <x v="91"/>
    <n v="9"/>
    <x v="12"/>
    <s v="123 9th Street"/>
    <x v="11"/>
    <x v="11"/>
    <n v="99999"/>
    <s v="USA"/>
    <x v="7"/>
    <x v="0"/>
    <d v="2014-08-11T00:00:00"/>
    <s v="Shipping Company A"/>
    <s v="Sven Mortensen"/>
    <s v="123 9th Street"/>
    <x v="11"/>
    <s v="UT"/>
    <n v="99999"/>
    <x v="0"/>
    <s v="Check"/>
    <x v="15"/>
    <x v="10"/>
    <n v="34.799999999999997"/>
    <n v="32"/>
    <x v="187"/>
    <n v="111.36"/>
  </r>
  <r>
    <n v="1238"/>
    <x v="92"/>
    <n v="6"/>
    <x v="6"/>
    <s v="123 6th Street"/>
    <x v="5"/>
    <x v="5"/>
    <n v="99999"/>
    <s v="USA"/>
    <x v="4"/>
    <x v="2"/>
    <d v="2014-08-08T00:00:00"/>
    <s v="Shipping Company B"/>
    <s v="Francisco Pérez-Olaeta"/>
    <s v="123 6th Street"/>
    <x v="5"/>
    <s v="WI"/>
    <n v="99999"/>
    <x v="0"/>
    <s v="Credit Card"/>
    <x v="0"/>
    <x v="0"/>
    <n v="14"/>
    <n v="52"/>
    <x v="188"/>
    <n v="72.8"/>
  </r>
  <r>
    <n v="1239"/>
    <x v="86"/>
    <n v="8"/>
    <x v="3"/>
    <s v="123 8th Street"/>
    <x v="2"/>
    <x v="2"/>
    <n v="99999"/>
    <s v="USA"/>
    <x v="2"/>
    <x v="2"/>
    <d v="2014-08-10T00:00:00"/>
    <s v="Shipping Company B"/>
    <s v="Elizabeth Andersen"/>
    <s v="123 8th Street"/>
    <x v="2"/>
    <s v="OR"/>
    <n v="99999"/>
    <x v="0"/>
    <s v="Check"/>
    <x v="9"/>
    <x v="5"/>
    <n v="40"/>
    <n v="78"/>
    <x v="189"/>
    <n v="318.24"/>
  </r>
  <r>
    <n v="1240"/>
    <x v="86"/>
    <n v="8"/>
    <x v="3"/>
    <s v="123 8th Street"/>
    <x v="2"/>
    <x v="2"/>
    <n v="99999"/>
    <s v="USA"/>
    <x v="2"/>
    <x v="2"/>
    <d v="2014-08-10T00:00:00"/>
    <s v="Shipping Company B"/>
    <s v="Elizabeth Andersen"/>
    <s v="123 8th Street"/>
    <x v="2"/>
    <s v="OR"/>
    <n v="99999"/>
    <x v="0"/>
    <s v="Check"/>
    <x v="6"/>
    <x v="2"/>
    <n v="9.1999999999999993"/>
    <n v="54"/>
    <x v="190"/>
    <n v="49.183199999999999"/>
  </r>
  <r>
    <n v="1241"/>
    <x v="93"/>
    <n v="25"/>
    <x v="13"/>
    <s v="789 25th Street"/>
    <x v="7"/>
    <x v="7"/>
    <n v="99999"/>
    <s v="USA"/>
    <x v="6"/>
    <x v="1"/>
    <d v="2014-08-27T00:00:00"/>
    <s v="Shipping Company A"/>
    <s v="John Rodman"/>
    <s v="789 25th Street"/>
    <x v="7"/>
    <s v="IL"/>
    <n v="99999"/>
    <x v="0"/>
    <s v="Cash"/>
    <x v="21"/>
    <x v="2"/>
    <n v="10"/>
    <n v="55"/>
    <x v="62"/>
    <n v="52.25"/>
  </r>
  <r>
    <n v="1242"/>
    <x v="94"/>
    <n v="26"/>
    <x v="14"/>
    <s v="789 26th Street"/>
    <x v="9"/>
    <x v="9"/>
    <n v="99999"/>
    <s v="USA"/>
    <x v="5"/>
    <x v="3"/>
    <d v="2014-08-28T00:00:00"/>
    <s v="Shipping Company C"/>
    <s v="Run Liu"/>
    <s v="789 26th Street"/>
    <x v="9"/>
    <s v="FL"/>
    <n v="99999"/>
    <x v="0"/>
    <s v="Credit Card"/>
    <x v="22"/>
    <x v="13"/>
    <n v="21.35"/>
    <n v="60"/>
    <x v="191"/>
    <n v="129.381"/>
  </r>
  <r>
    <n v="1243"/>
    <x v="94"/>
    <n v="26"/>
    <x v="14"/>
    <s v="789 26th Street"/>
    <x v="9"/>
    <x v="9"/>
    <n v="99999"/>
    <s v="USA"/>
    <x v="5"/>
    <x v="3"/>
    <d v="2014-08-28T00:00:00"/>
    <s v="Shipping Company C"/>
    <s v="Run Liu"/>
    <s v="789 26th Street"/>
    <x v="9"/>
    <s v="FL"/>
    <n v="99999"/>
    <x v="0"/>
    <s v="Credit Card"/>
    <x v="8"/>
    <x v="4"/>
    <n v="9.65"/>
    <n v="19"/>
    <x v="192"/>
    <n v="17.41825"/>
  </r>
  <r>
    <n v="1244"/>
    <x v="94"/>
    <n v="26"/>
    <x v="14"/>
    <s v="789 26th Street"/>
    <x v="9"/>
    <x v="9"/>
    <n v="99999"/>
    <s v="USA"/>
    <x v="5"/>
    <x v="3"/>
    <d v="2014-08-28T00:00:00"/>
    <s v="Shipping Company C"/>
    <s v="Run Liu"/>
    <s v="789 26th Street"/>
    <x v="9"/>
    <s v="FL"/>
    <n v="99999"/>
    <x v="0"/>
    <s v="Credit Card"/>
    <x v="13"/>
    <x v="8"/>
    <n v="18.399999999999999"/>
    <n v="66"/>
    <x v="193"/>
    <n v="125.08320000000001"/>
  </r>
  <r>
    <n v="1245"/>
    <x v="95"/>
    <n v="29"/>
    <x v="4"/>
    <s v="789 29th Street"/>
    <x v="3"/>
    <x v="3"/>
    <n v="99999"/>
    <s v="USA"/>
    <x v="3"/>
    <x v="0"/>
    <d v="2014-08-31T00:00:00"/>
    <s v="Shipping Company B"/>
    <s v="Soo Jung Lee"/>
    <s v="789 29th Street"/>
    <x v="3"/>
    <s v="CO"/>
    <n v="99999"/>
    <x v="0"/>
    <s v="Check"/>
    <x v="0"/>
    <x v="0"/>
    <n v="14"/>
    <n v="42"/>
    <x v="194"/>
    <n v="59.388000000000005"/>
  </r>
  <r>
    <n v="1246"/>
    <x v="92"/>
    <n v="6"/>
    <x v="6"/>
    <s v="123 6th Street"/>
    <x v="5"/>
    <x v="5"/>
    <n v="99999"/>
    <s v="USA"/>
    <x v="4"/>
    <x v="2"/>
    <n v="41859"/>
    <s v="Shipping Company C"/>
    <s v="Francisco Pérez-Olaeta"/>
    <s v="123 6th Street"/>
    <x v="5"/>
    <s v="WI"/>
    <n v="99999"/>
    <x v="0"/>
    <s v="Check"/>
    <x v="7"/>
    <x v="3"/>
    <n v="12.75"/>
    <n v="72"/>
    <x v="195"/>
    <n v="89.046000000000006"/>
  </r>
  <r>
    <n v="1248"/>
    <x v="96"/>
    <n v="4"/>
    <x v="1"/>
    <s v="123 4th Street"/>
    <x v="1"/>
    <x v="1"/>
    <n v="99999"/>
    <s v="USA"/>
    <x v="1"/>
    <x v="1"/>
    <n v="41857"/>
    <s v="Shipping Company A"/>
    <s v="Christina Lee"/>
    <s v="123 4th Street"/>
    <x v="1"/>
    <s v="NY"/>
    <n v="99999"/>
    <x v="0"/>
    <s v="Credit Card"/>
    <x v="23"/>
    <x v="6"/>
    <n v="81"/>
    <n v="32"/>
    <x v="196"/>
    <n v="251.42399999999998"/>
  </r>
  <r>
    <n v="1249"/>
    <x v="96"/>
    <n v="4"/>
    <x v="1"/>
    <s v="123 4th Street"/>
    <x v="1"/>
    <x v="1"/>
    <n v="99999"/>
    <s v="USA"/>
    <x v="1"/>
    <x v="1"/>
    <n v="41857"/>
    <s v="Shipping Company A"/>
    <s v="Christina Lee"/>
    <s v="123 4th Street"/>
    <x v="1"/>
    <s v="NY"/>
    <n v="99999"/>
    <x v="0"/>
    <s v="Credit Card"/>
    <x v="24"/>
    <x v="14"/>
    <n v="7"/>
    <n v="76"/>
    <x v="197"/>
    <n v="53.732000000000006"/>
  </r>
  <r>
    <n v="1250"/>
    <x v="97"/>
    <n v="10"/>
    <x v="8"/>
    <s v="123 10th Street"/>
    <x v="7"/>
    <x v="7"/>
    <n v="99999"/>
    <s v="USA"/>
    <x v="6"/>
    <x v="1"/>
    <n v="41894"/>
    <s v="Shipping Company A"/>
    <s v="Roland Wacker"/>
    <s v="123 10th Street"/>
    <x v="7"/>
    <s v="IL"/>
    <n v="99999"/>
    <x v="0"/>
    <m/>
    <x v="6"/>
    <x v="2"/>
    <n v="9.1999999999999993"/>
    <n v="83"/>
    <x v="198"/>
    <n v="74.832799999999992"/>
  </r>
  <r>
    <n v="1251"/>
    <x v="98"/>
    <n v="11"/>
    <x v="10"/>
    <s v="123 11th Street"/>
    <x v="9"/>
    <x v="9"/>
    <n v="99999"/>
    <s v="USA"/>
    <x v="5"/>
    <x v="3"/>
    <m/>
    <s v="Shipping Company C"/>
    <s v="Peter Krschne"/>
    <s v="123 11th Street"/>
    <x v="9"/>
    <s v="FL"/>
    <n v="99999"/>
    <x v="0"/>
    <m/>
    <x v="1"/>
    <x v="1"/>
    <n v="3.5"/>
    <n v="91"/>
    <x v="199"/>
    <n v="31.213000000000001"/>
  </r>
  <r>
    <n v="1252"/>
    <x v="98"/>
    <n v="11"/>
    <x v="10"/>
    <s v="123 11th Street"/>
    <x v="9"/>
    <x v="9"/>
    <n v="99999"/>
    <s v="USA"/>
    <x v="5"/>
    <x v="3"/>
    <m/>
    <s v="Shipping Company C"/>
    <s v="Peter Krschne"/>
    <s v="123 11th Street"/>
    <x v="9"/>
    <s v="FL"/>
    <n v="99999"/>
    <x v="0"/>
    <m/>
    <x v="10"/>
    <x v="0"/>
    <n v="2.99"/>
    <n v="64"/>
    <x v="200"/>
    <n v="19.518720000000002"/>
  </r>
  <r>
    <n v="1253"/>
    <x v="99"/>
    <n v="1"/>
    <x v="11"/>
    <s v="123 1st Street"/>
    <x v="10"/>
    <x v="10"/>
    <n v="99999"/>
    <s v="USA"/>
    <x v="2"/>
    <x v="2"/>
    <m/>
    <m/>
    <s v="Anna Bedecs"/>
    <s v="123 1st Street"/>
    <x v="10"/>
    <s v="WA"/>
    <n v="99999"/>
    <x v="0"/>
    <m/>
    <x v="4"/>
    <x v="0"/>
    <n v="18"/>
    <n v="58"/>
    <x v="137"/>
    <n v="103.35600000000001"/>
  </r>
  <r>
    <n v="1254"/>
    <x v="99"/>
    <n v="1"/>
    <x v="11"/>
    <s v="123 1st Street"/>
    <x v="10"/>
    <x v="10"/>
    <n v="99999"/>
    <s v="USA"/>
    <x v="2"/>
    <x v="2"/>
    <m/>
    <m/>
    <s v="Anna Bedecs"/>
    <s v="123 1st Street"/>
    <x v="10"/>
    <s v="WA"/>
    <n v="99999"/>
    <x v="0"/>
    <m/>
    <x v="5"/>
    <x v="0"/>
    <n v="46"/>
    <n v="97"/>
    <x v="201"/>
    <n v="464.04800000000006"/>
  </r>
  <r>
    <n v="1255"/>
    <x v="99"/>
    <n v="1"/>
    <x v="11"/>
    <s v="123 1st Street"/>
    <x v="10"/>
    <x v="10"/>
    <n v="99999"/>
    <s v="USA"/>
    <x v="2"/>
    <x v="2"/>
    <m/>
    <m/>
    <s v="Anna Bedecs"/>
    <s v="123 1st Street"/>
    <x v="10"/>
    <s v="WA"/>
    <n v="99999"/>
    <x v="0"/>
    <m/>
    <x v="10"/>
    <x v="0"/>
    <n v="2.99"/>
    <n v="14"/>
    <x v="202"/>
    <n v="4.35344"/>
  </r>
  <r>
    <n v="1256"/>
    <x v="100"/>
    <n v="28"/>
    <x v="7"/>
    <s v="789 28th Street"/>
    <x v="6"/>
    <x v="6"/>
    <n v="99999"/>
    <s v="USA"/>
    <x v="5"/>
    <x v="3"/>
    <d v="2014-09-30T00:00:00"/>
    <s v="Shipping Company C"/>
    <s v="Amritansh Raghav"/>
    <s v="789 28th Street"/>
    <x v="6"/>
    <s v="TN"/>
    <n v="99999"/>
    <x v="0"/>
    <s v="Credit Card"/>
    <x v="8"/>
    <x v="4"/>
    <n v="9.65"/>
    <n v="68"/>
    <x v="203"/>
    <n v="64.307600000000008"/>
  </r>
  <r>
    <n v="1257"/>
    <x v="100"/>
    <n v="28"/>
    <x v="7"/>
    <s v="789 28th Street"/>
    <x v="6"/>
    <x v="6"/>
    <n v="99999"/>
    <s v="USA"/>
    <x v="5"/>
    <x v="3"/>
    <n v="41912"/>
    <s v="Shipping Company C"/>
    <s v="Amritansh Raghav"/>
    <s v="789 28th Street"/>
    <x v="6"/>
    <s v="TN"/>
    <n v="99999"/>
    <x v="0"/>
    <s v="Credit Card"/>
    <x v="13"/>
    <x v="8"/>
    <n v="18.399999999999999"/>
    <n v="32"/>
    <x v="204"/>
    <n v="58.879999999999995"/>
  </r>
  <r>
    <n v="1258"/>
    <x v="101"/>
    <n v="9"/>
    <x v="12"/>
    <s v="123 9th Street"/>
    <x v="11"/>
    <x v="11"/>
    <n v="99999"/>
    <s v="USA"/>
    <x v="7"/>
    <x v="0"/>
    <d v="2014-09-11T00:00:00"/>
    <s v="Shipping Company A"/>
    <s v="Sven Mortensen"/>
    <s v="123 9th Street"/>
    <x v="11"/>
    <s v="UT"/>
    <n v="99999"/>
    <x v="0"/>
    <s v="Check"/>
    <x v="14"/>
    <x v="9"/>
    <n v="19.5"/>
    <n v="48"/>
    <x v="205"/>
    <n v="94.536000000000016"/>
  </r>
  <r>
    <n v="1259"/>
    <x v="101"/>
    <n v="9"/>
    <x v="12"/>
    <s v="123 9th Street"/>
    <x v="11"/>
    <x v="11"/>
    <n v="99999"/>
    <s v="USA"/>
    <x v="7"/>
    <x v="0"/>
    <d v="2014-09-11T00:00:00"/>
    <s v="Shipping Company A"/>
    <s v="Sven Mortensen"/>
    <s v="123 9th Street"/>
    <x v="11"/>
    <s v="UT"/>
    <n v="99999"/>
    <x v="0"/>
    <s v="Check"/>
    <x v="15"/>
    <x v="10"/>
    <n v="34.799999999999997"/>
    <n v="57"/>
    <x v="206"/>
    <n v="194.39280000000002"/>
  </r>
  <r>
    <n v="1260"/>
    <x v="102"/>
    <n v="6"/>
    <x v="6"/>
    <s v="123 6th Street"/>
    <x v="5"/>
    <x v="5"/>
    <n v="99999"/>
    <s v="USA"/>
    <x v="4"/>
    <x v="2"/>
    <d v="2014-09-08T00:00:00"/>
    <s v="Shipping Company B"/>
    <s v="Francisco Pérez-Olaeta"/>
    <s v="123 6th Street"/>
    <x v="5"/>
    <s v="WI"/>
    <n v="99999"/>
    <x v="0"/>
    <s v="Credit Card"/>
    <x v="0"/>
    <x v="0"/>
    <n v="14"/>
    <n v="67"/>
    <x v="207"/>
    <n v="98.490000000000009"/>
  </r>
  <r>
    <n v="1261"/>
    <x v="103"/>
    <n v="8"/>
    <x v="3"/>
    <s v="123 8th Street"/>
    <x v="2"/>
    <x v="2"/>
    <n v="99999"/>
    <s v="USA"/>
    <x v="2"/>
    <x v="2"/>
    <n v="41892"/>
    <s v="Shipping Company B"/>
    <s v="Elizabeth Andersen"/>
    <s v="123 8th Street"/>
    <x v="2"/>
    <s v="OR"/>
    <n v="99999"/>
    <x v="0"/>
    <s v="Check"/>
    <x v="9"/>
    <x v="5"/>
    <n v="40"/>
    <n v="48"/>
    <x v="208"/>
    <n v="188.16"/>
  </r>
  <r>
    <n v="1262"/>
    <x v="103"/>
    <n v="8"/>
    <x v="3"/>
    <s v="123 8th Street"/>
    <x v="2"/>
    <x v="2"/>
    <n v="99999"/>
    <s v="USA"/>
    <x v="2"/>
    <x v="2"/>
    <n v="41892"/>
    <s v="Shipping Company B"/>
    <s v="Elizabeth Andersen"/>
    <s v="123 8th Street"/>
    <x v="2"/>
    <s v="OR"/>
    <n v="99999"/>
    <x v="0"/>
    <s v="Check"/>
    <x v="6"/>
    <x v="2"/>
    <n v="9.1999999999999993"/>
    <n v="77"/>
    <x v="209"/>
    <n v="72.256799999999998"/>
  </r>
  <r>
    <n v="1263"/>
    <x v="104"/>
    <n v="25"/>
    <x v="13"/>
    <s v="789 25th Street"/>
    <x v="7"/>
    <x v="7"/>
    <n v="99999"/>
    <s v="USA"/>
    <x v="6"/>
    <x v="1"/>
    <n v="41909"/>
    <s v="Shipping Company A"/>
    <s v="John Rodman"/>
    <s v="789 25th Street"/>
    <x v="7"/>
    <s v="IL"/>
    <n v="99999"/>
    <x v="0"/>
    <s v="Cash"/>
    <x v="21"/>
    <x v="2"/>
    <n v="10"/>
    <n v="94"/>
    <x v="210"/>
    <n v="97.76"/>
  </r>
  <r>
    <n v="1264"/>
    <x v="105"/>
    <n v="26"/>
    <x v="14"/>
    <s v="789 26th Street"/>
    <x v="9"/>
    <x v="9"/>
    <n v="99999"/>
    <s v="USA"/>
    <x v="5"/>
    <x v="3"/>
    <n v="41910"/>
    <s v="Shipping Company C"/>
    <s v="Run Liu"/>
    <s v="789 26th Street"/>
    <x v="9"/>
    <s v="FL"/>
    <n v="99999"/>
    <x v="0"/>
    <s v="Credit Card"/>
    <x v="22"/>
    <x v="13"/>
    <n v="21.35"/>
    <n v="54"/>
    <x v="211"/>
    <n v="121.05450000000003"/>
  </r>
  <r>
    <n v="1265"/>
    <x v="105"/>
    <n v="26"/>
    <x v="14"/>
    <s v="789 26th Street"/>
    <x v="9"/>
    <x v="9"/>
    <n v="99999"/>
    <s v="USA"/>
    <x v="5"/>
    <x v="3"/>
    <n v="41910"/>
    <s v="Shipping Company C"/>
    <s v="Run Liu"/>
    <s v="789 26th Street"/>
    <x v="9"/>
    <s v="FL"/>
    <n v="99999"/>
    <x v="0"/>
    <s v="Credit Card"/>
    <x v="8"/>
    <x v="4"/>
    <n v="9.65"/>
    <n v="43"/>
    <x v="84"/>
    <n v="40.250150000000005"/>
  </r>
  <r>
    <n v="1266"/>
    <x v="105"/>
    <n v="26"/>
    <x v="14"/>
    <s v="789 26th Street"/>
    <x v="9"/>
    <x v="9"/>
    <n v="99999"/>
    <s v="USA"/>
    <x v="5"/>
    <x v="3"/>
    <d v="2014-09-28T00:00:00"/>
    <s v="Shipping Company C"/>
    <s v="Run Liu"/>
    <s v="789 26th Street"/>
    <x v="9"/>
    <s v="FL"/>
    <n v="99999"/>
    <x v="0"/>
    <s v="Credit Card"/>
    <x v="13"/>
    <x v="8"/>
    <n v="18.399999999999999"/>
    <n v="71"/>
    <x v="143"/>
    <n v="134.55919999999998"/>
  </r>
  <r>
    <n v="1267"/>
    <x v="106"/>
    <n v="29"/>
    <x v="4"/>
    <s v="789 29th Street"/>
    <x v="3"/>
    <x v="3"/>
    <n v="99999"/>
    <s v="USA"/>
    <x v="3"/>
    <x v="0"/>
    <d v="2014-10-01T00:00:00"/>
    <s v="Shipping Company B"/>
    <s v="Soo Jung Lee"/>
    <s v="789 29th Street"/>
    <x v="3"/>
    <s v="CO"/>
    <n v="99999"/>
    <x v="0"/>
    <s v="Check"/>
    <x v="0"/>
    <x v="0"/>
    <n v="14"/>
    <n v="50"/>
    <x v="212"/>
    <n v="67.2"/>
  </r>
  <r>
    <n v="1268"/>
    <x v="102"/>
    <n v="6"/>
    <x v="6"/>
    <s v="123 6th Street"/>
    <x v="5"/>
    <x v="5"/>
    <n v="99999"/>
    <s v="USA"/>
    <x v="4"/>
    <x v="2"/>
    <d v="2014-09-08T00:00:00"/>
    <s v="Shipping Company C"/>
    <s v="Francisco Pérez-Olaeta"/>
    <s v="123 6th Street"/>
    <x v="5"/>
    <s v="WI"/>
    <n v="99999"/>
    <x v="0"/>
    <s v="Check"/>
    <x v="7"/>
    <x v="3"/>
    <n v="12.75"/>
    <n v="96"/>
    <x v="146"/>
    <n v="119.952"/>
  </r>
  <r>
    <n v="1270"/>
    <x v="107"/>
    <n v="4"/>
    <x v="1"/>
    <s v="123 4th Street"/>
    <x v="1"/>
    <x v="1"/>
    <n v="99999"/>
    <s v="USA"/>
    <x v="1"/>
    <x v="1"/>
    <d v="2014-09-06T00:00:00"/>
    <s v="Shipping Company A"/>
    <s v="Christina Lee"/>
    <s v="123 4th Street"/>
    <x v="1"/>
    <s v="NY"/>
    <n v="99999"/>
    <x v="0"/>
    <s v="Credit Card"/>
    <x v="23"/>
    <x v="6"/>
    <n v="81"/>
    <n v="54"/>
    <x v="213"/>
    <n v="437.40000000000003"/>
  </r>
  <r>
    <n v="1271"/>
    <x v="107"/>
    <n v="4"/>
    <x v="1"/>
    <s v="123 4th Street"/>
    <x v="1"/>
    <x v="1"/>
    <n v="99999"/>
    <s v="USA"/>
    <x v="1"/>
    <x v="1"/>
    <d v="2014-09-06T00:00:00"/>
    <s v="Shipping Company A"/>
    <s v="Christina Lee"/>
    <s v="123 4th Street"/>
    <x v="1"/>
    <s v="NY"/>
    <n v="99999"/>
    <x v="0"/>
    <s v="Credit Card"/>
    <x v="24"/>
    <x v="14"/>
    <n v="7"/>
    <n v="39"/>
    <x v="214"/>
    <n v="27.3"/>
  </r>
  <r>
    <n v="1273"/>
    <x v="103"/>
    <n v="8"/>
    <x v="3"/>
    <s v="123 8th Street"/>
    <x v="2"/>
    <x v="2"/>
    <n v="99999"/>
    <s v="USA"/>
    <x v="2"/>
    <x v="2"/>
    <d v="2014-09-10T00:00:00"/>
    <s v="Shipping Company C"/>
    <s v="Elizabeth Andersen"/>
    <s v="123 8th Street"/>
    <x v="2"/>
    <s v="OR"/>
    <n v="99999"/>
    <x v="0"/>
    <s v="Credit Card"/>
    <x v="15"/>
    <x v="10"/>
    <n v="34.799999999999997"/>
    <n v="63"/>
    <x v="59"/>
    <n v="230.202"/>
  </r>
  <r>
    <n v="1276"/>
    <x v="108"/>
    <n v="3"/>
    <x v="5"/>
    <s v="123 3rd Street"/>
    <x v="4"/>
    <x v="4"/>
    <n v="99999"/>
    <s v="USA"/>
    <x v="0"/>
    <x v="0"/>
    <d v="2014-09-05T00:00:00"/>
    <s v="Shipping Company B"/>
    <s v="Thomas Axerr"/>
    <s v="123 3rd Street"/>
    <x v="4"/>
    <s v="CA"/>
    <n v="99999"/>
    <x v="0"/>
    <s v="Cash"/>
    <x v="16"/>
    <x v="7"/>
    <n v="10"/>
    <n v="71"/>
    <x v="215"/>
    <n v="73.13"/>
  </r>
  <r>
    <n v="1277"/>
    <x v="108"/>
    <n v="3"/>
    <x v="5"/>
    <s v="123 3rd Street"/>
    <x v="4"/>
    <x v="4"/>
    <n v="99999"/>
    <s v="USA"/>
    <x v="0"/>
    <x v="0"/>
    <d v="2014-09-05T00:00:00"/>
    <s v="Shipping Company B"/>
    <s v="Thomas Axerr"/>
    <s v="123 3rd Street"/>
    <x v="4"/>
    <s v="CA"/>
    <n v="99999"/>
    <x v="0"/>
    <s v="Cash"/>
    <x v="9"/>
    <x v="5"/>
    <n v="40"/>
    <n v="88"/>
    <x v="216"/>
    <n v="366.08000000000004"/>
  </r>
  <r>
    <n v="1281"/>
    <x v="97"/>
    <n v="10"/>
    <x v="8"/>
    <s v="123 10th Street"/>
    <x v="7"/>
    <x v="7"/>
    <n v="99999"/>
    <s v="USA"/>
    <x v="6"/>
    <x v="1"/>
    <d v="2014-09-12T00:00:00"/>
    <s v="Shipping Company B"/>
    <s v="Roland Wacker"/>
    <s v="123 10th Street"/>
    <x v="7"/>
    <s v="IL"/>
    <n v="99999"/>
    <x v="0"/>
    <s v="Credit Card"/>
    <x v="18"/>
    <x v="1"/>
    <n v="10"/>
    <n v="59"/>
    <x v="217"/>
    <n v="59.59"/>
  </r>
  <r>
    <n v="1282"/>
    <x v="109"/>
    <n v="6"/>
    <x v="6"/>
    <s v="123 6th Street"/>
    <x v="5"/>
    <x v="5"/>
    <n v="99999"/>
    <s v="USA"/>
    <x v="4"/>
    <x v="2"/>
    <d v="2014-10-08T00:00:00"/>
    <s v="Shipping Company B"/>
    <s v="Francisco Pérez-Olaeta"/>
    <s v="123 6th Street"/>
    <x v="5"/>
    <s v="WI"/>
    <n v="99999"/>
    <x v="0"/>
    <s v="Credit Card"/>
    <x v="9"/>
    <x v="5"/>
    <n v="40"/>
    <n v="94"/>
    <x v="218"/>
    <n v="376"/>
  </r>
  <r>
    <n v="1283"/>
    <x v="110"/>
    <n v="28"/>
    <x v="7"/>
    <s v="789 28th Street"/>
    <x v="6"/>
    <x v="6"/>
    <n v="99999"/>
    <s v="USA"/>
    <x v="5"/>
    <x v="3"/>
    <d v="2014-10-30T00:00:00"/>
    <s v="Shipping Company C"/>
    <s v="Amritansh Raghav"/>
    <s v="789 28th Street"/>
    <x v="6"/>
    <s v="TN"/>
    <n v="99999"/>
    <x v="0"/>
    <s v="Check"/>
    <x v="5"/>
    <x v="0"/>
    <n v="46"/>
    <n v="86"/>
    <x v="177"/>
    <n v="379.77600000000001"/>
  </r>
  <r>
    <n v="1284"/>
    <x v="111"/>
    <n v="8"/>
    <x v="3"/>
    <s v="123 8th Street"/>
    <x v="2"/>
    <x v="2"/>
    <n v="99999"/>
    <s v="USA"/>
    <x v="2"/>
    <x v="2"/>
    <d v="2014-10-10T00:00:00"/>
    <s v="Shipping Company C"/>
    <s v="Elizabeth Andersen"/>
    <s v="123 8th Street"/>
    <x v="2"/>
    <s v="OR"/>
    <n v="99999"/>
    <x v="0"/>
    <s v="Check"/>
    <x v="7"/>
    <x v="3"/>
    <n v="12.75"/>
    <n v="61"/>
    <x v="219"/>
    <n v="78.552750000000003"/>
  </r>
  <r>
    <n v="1285"/>
    <x v="112"/>
    <n v="10"/>
    <x v="8"/>
    <s v="123 10th Street"/>
    <x v="7"/>
    <x v="7"/>
    <n v="99999"/>
    <s v="USA"/>
    <x v="6"/>
    <x v="1"/>
    <d v="2014-10-12T00:00:00"/>
    <s v="Shipping Company B"/>
    <s v="Roland Wacker"/>
    <s v="123 10th Street"/>
    <x v="7"/>
    <s v="IL"/>
    <n v="99999"/>
    <x v="0"/>
    <s v="Credit Card"/>
    <x v="10"/>
    <x v="0"/>
    <n v="2.99"/>
    <n v="32"/>
    <x v="220"/>
    <n v="9.7593600000000009"/>
  </r>
  <r>
    <n v="1286"/>
    <x v="113"/>
    <n v="7"/>
    <x v="9"/>
    <s v="123 7th Street"/>
    <x v="8"/>
    <x v="8"/>
    <n v="99999"/>
    <s v="USA"/>
    <x v="2"/>
    <x v="2"/>
    <m/>
    <m/>
    <s v="Ming-Yang Xie"/>
    <s v="123 7th Street"/>
    <x v="8"/>
    <s v="ID"/>
    <n v="99999"/>
    <x v="0"/>
    <m/>
    <x v="5"/>
    <x v="0"/>
    <n v="46"/>
    <n v="62"/>
    <x v="221"/>
    <n v="290.904"/>
  </r>
  <r>
    <n v="1287"/>
    <x v="112"/>
    <n v="10"/>
    <x v="8"/>
    <s v="123 10th Street"/>
    <x v="7"/>
    <x v="7"/>
    <n v="99999"/>
    <s v="USA"/>
    <x v="6"/>
    <x v="1"/>
    <d v="2014-10-12T00:00:00"/>
    <s v="Shipping Company A"/>
    <s v="Roland Wacker"/>
    <s v="123 10th Street"/>
    <x v="7"/>
    <s v="IL"/>
    <n v="99999"/>
    <x v="0"/>
    <m/>
    <x v="11"/>
    <x v="6"/>
    <n v="25"/>
    <n v="60"/>
    <x v="222"/>
    <n v="154.5"/>
  </r>
  <r>
    <n v="1288"/>
    <x v="112"/>
    <n v="10"/>
    <x v="8"/>
    <s v="123 10th Street"/>
    <x v="7"/>
    <x v="7"/>
    <n v="99999"/>
    <s v="USA"/>
    <x v="6"/>
    <x v="1"/>
    <d v="2014-10-12T00:00:00"/>
    <s v="Shipping Company A"/>
    <s v="Roland Wacker"/>
    <s v="123 10th Street"/>
    <x v="7"/>
    <s v="IL"/>
    <n v="99999"/>
    <x v="0"/>
    <m/>
    <x v="12"/>
    <x v="7"/>
    <n v="22"/>
    <n v="51"/>
    <x v="223"/>
    <n v="109.956"/>
  </r>
  <r>
    <n v="1289"/>
    <x v="112"/>
    <n v="10"/>
    <x v="8"/>
    <s v="123 10th Street"/>
    <x v="7"/>
    <x v="7"/>
    <n v="99999"/>
    <s v="USA"/>
    <x v="6"/>
    <x v="1"/>
    <d v="2014-10-12T00:00:00"/>
    <s v="Shipping Company A"/>
    <s v="Roland Wacker"/>
    <s v="123 10th Street"/>
    <x v="7"/>
    <s v="IL"/>
    <n v="99999"/>
    <x v="0"/>
    <m/>
    <x v="6"/>
    <x v="2"/>
    <n v="9.1999999999999993"/>
    <n v="49"/>
    <x v="224"/>
    <n v="44.629199999999997"/>
  </r>
  <r>
    <n v="1290"/>
    <x v="114"/>
    <n v="11"/>
    <x v="10"/>
    <s v="123 11th Street"/>
    <x v="9"/>
    <x v="9"/>
    <n v="99999"/>
    <s v="USA"/>
    <x v="5"/>
    <x v="3"/>
    <m/>
    <s v="Shipping Company C"/>
    <s v="Peter Krschne"/>
    <s v="123 11th Street"/>
    <x v="9"/>
    <s v="FL"/>
    <n v="99999"/>
    <x v="0"/>
    <m/>
    <x v="1"/>
    <x v="1"/>
    <n v="3.5"/>
    <n v="20"/>
    <x v="225"/>
    <n v="6.93"/>
  </r>
  <r>
    <n v="1291"/>
    <x v="114"/>
    <n v="11"/>
    <x v="10"/>
    <s v="123 11th Street"/>
    <x v="9"/>
    <x v="9"/>
    <n v="99999"/>
    <s v="USA"/>
    <x v="5"/>
    <x v="3"/>
    <m/>
    <s v="Shipping Company C"/>
    <s v="Peter Krschne"/>
    <s v="123 11th Street"/>
    <x v="9"/>
    <s v="FL"/>
    <n v="99999"/>
    <x v="0"/>
    <m/>
    <x v="10"/>
    <x v="0"/>
    <n v="2.99"/>
    <n v="49"/>
    <x v="20"/>
    <n v="14.651000000000003"/>
  </r>
  <r>
    <n v="1292"/>
    <x v="115"/>
    <n v="1"/>
    <x v="11"/>
    <s v="123 1st Street"/>
    <x v="10"/>
    <x v="10"/>
    <n v="99999"/>
    <s v="USA"/>
    <x v="2"/>
    <x v="2"/>
    <m/>
    <m/>
    <s v="Anna Bedecs"/>
    <s v="123 1st Street"/>
    <x v="10"/>
    <s v="WA"/>
    <n v="99999"/>
    <x v="0"/>
    <m/>
    <x v="4"/>
    <x v="0"/>
    <n v="18"/>
    <n v="22"/>
    <x v="226"/>
    <n v="38.015999999999998"/>
  </r>
  <r>
    <n v="1293"/>
    <x v="115"/>
    <n v="1"/>
    <x v="11"/>
    <s v="123 1st Street"/>
    <x v="10"/>
    <x v="10"/>
    <n v="99999"/>
    <s v="USA"/>
    <x v="2"/>
    <x v="2"/>
    <m/>
    <m/>
    <s v="Anna Bedecs"/>
    <s v="123 1st Street"/>
    <x v="10"/>
    <s v="WA"/>
    <n v="99999"/>
    <x v="0"/>
    <m/>
    <x v="5"/>
    <x v="0"/>
    <n v="46"/>
    <n v="73"/>
    <x v="227"/>
    <n v="339.15800000000002"/>
  </r>
  <r>
    <n v="1294"/>
    <x v="115"/>
    <n v="1"/>
    <x v="11"/>
    <s v="123 1st Street"/>
    <x v="10"/>
    <x v="10"/>
    <n v="99999"/>
    <s v="USA"/>
    <x v="2"/>
    <x v="2"/>
    <m/>
    <m/>
    <s v="Anna Bedecs"/>
    <s v="123 1st Street"/>
    <x v="10"/>
    <s v="WA"/>
    <n v="99999"/>
    <x v="0"/>
    <m/>
    <x v="10"/>
    <x v="0"/>
    <n v="2.99"/>
    <n v="85"/>
    <x v="228"/>
    <n v="24.652550000000002"/>
  </r>
  <r>
    <n v="1295"/>
    <x v="110"/>
    <n v="28"/>
    <x v="7"/>
    <s v="789 28th Street"/>
    <x v="6"/>
    <x v="6"/>
    <n v="99999"/>
    <s v="USA"/>
    <x v="5"/>
    <x v="3"/>
    <d v="2014-10-30T00:00:00"/>
    <s v="Shipping Company C"/>
    <s v="Amritansh Raghav"/>
    <s v="789 28th Street"/>
    <x v="6"/>
    <s v="TN"/>
    <n v="99999"/>
    <x v="0"/>
    <s v="Credit Card"/>
    <x v="8"/>
    <x v="4"/>
    <n v="9.65"/>
    <n v="44"/>
    <x v="229"/>
    <n v="44.158400000000007"/>
  </r>
  <r>
    <n v="1296"/>
    <x v="110"/>
    <n v="28"/>
    <x v="7"/>
    <s v="789 28th Street"/>
    <x v="6"/>
    <x v="6"/>
    <n v="99999"/>
    <s v="USA"/>
    <x v="5"/>
    <x v="3"/>
    <d v="2014-10-30T00:00:00"/>
    <s v="Shipping Company C"/>
    <s v="Amritansh Raghav"/>
    <s v="789 28th Street"/>
    <x v="6"/>
    <s v="TN"/>
    <n v="99999"/>
    <x v="0"/>
    <s v="Credit Card"/>
    <x v="13"/>
    <x v="8"/>
    <n v="18.399999999999999"/>
    <n v="24"/>
    <x v="230"/>
    <n v="42.835199999999993"/>
  </r>
  <r>
    <n v="1297"/>
    <x v="116"/>
    <n v="9"/>
    <x v="12"/>
    <s v="123 9th Street"/>
    <x v="11"/>
    <x v="11"/>
    <n v="99999"/>
    <s v="USA"/>
    <x v="7"/>
    <x v="0"/>
    <d v="2014-10-11T00:00:00"/>
    <s v="Shipping Company A"/>
    <s v="Sven Mortensen"/>
    <s v="123 9th Street"/>
    <x v="11"/>
    <s v="UT"/>
    <n v="99999"/>
    <x v="0"/>
    <s v="Check"/>
    <x v="14"/>
    <x v="9"/>
    <n v="19.5"/>
    <n v="64"/>
    <x v="231"/>
    <n v="119.80800000000001"/>
  </r>
  <r>
    <n v="1298"/>
    <x v="116"/>
    <n v="9"/>
    <x v="12"/>
    <s v="123 9th Street"/>
    <x v="11"/>
    <x v="11"/>
    <n v="99999"/>
    <s v="USA"/>
    <x v="7"/>
    <x v="0"/>
    <d v="2014-10-11T00:00:00"/>
    <s v="Shipping Company A"/>
    <s v="Sven Mortensen"/>
    <s v="123 9th Street"/>
    <x v="11"/>
    <s v="UT"/>
    <n v="99999"/>
    <x v="0"/>
    <s v="Check"/>
    <x v="15"/>
    <x v="10"/>
    <n v="34.799999999999997"/>
    <n v="70"/>
    <x v="232"/>
    <n v="246.03600000000003"/>
  </r>
  <r>
    <n v="1299"/>
    <x v="109"/>
    <n v="6"/>
    <x v="6"/>
    <s v="123 6th Street"/>
    <x v="5"/>
    <x v="5"/>
    <n v="99999"/>
    <s v="USA"/>
    <x v="4"/>
    <x v="2"/>
    <d v="2014-10-08T00:00:00"/>
    <s v="Shipping Company B"/>
    <s v="Francisco Pérez-Olaeta"/>
    <s v="123 6th Street"/>
    <x v="5"/>
    <s v="WI"/>
    <n v="99999"/>
    <x v="0"/>
    <s v="Credit Card"/>
    <x v="0"/>
    <x v="0"/>
    <n v="14"/>
    <n v="98"/>
    <x v="233"/>
    <n v="138.57200000000003"/>
  </r>
  <r>
    <n v="1300"/>
    <x v="111"/>
    <n v="8"/>
    <x v="3"/>
    <s v="123 8th Street"/>
    <x v="2"/>
    <x v="2"/>
    <n v="99999"/>
    <s v="USA"/>
    <x v="2"/>
    <x v="2"/>
    <d v="2014-10-10T00:00:00"/>
    <s v="Shipping Company B"/>
    <s v="Elizabeth Andersen"/>
    <s v="123 8th Street"/>
    <x v="2"/>
    <s v="OR"/>
    <n v="99999"/>
    <x v="0"/>
    <s v="Check"/>
    <x v="9"/>
    <x v="5"/>
    <n v="40"/>
    <n v="48"/>
    <x v="208"/>
    <n v="188.16"/>
  </r>
  <r>
    <n v="1301"/>
    <x v="111"/>
    <n v="8"/>
    <x v="3"/>
    <s v="123 8th Street"/>
    <x v="2"/>
    <x v="2"/>
    <n v="99999"/>
    <s v="USA"/>
    <x v="2"/>
    <x v="2"/>
    <d v="2014-10-10T00:00:00"/>
    <s v="Shipping Company B"/>
    <s v="Elizabeth Andersen"/>
    <s v="123 8th Street"/>
    <x v="2"/>
    <s v="OR"/>
    <n v="99999"/>
    <x v="0"/>
    <s v="Check"/>
    <x v="6"/>
    <x v="2"/>
    <n v="9.1999999999999993"/>
    <n v="100"/>
    <x v="234"/>
    <n v="91.08"/>
  </r>
  <r>
    <n v="1302"/>
    <x v="117"/>
    <n v="25"/>
    <x v="13"/>
    <s v="789 25th Street"/>
    <x v="7"/>
    <x v="7"/>
    <n v="99999"/>
    <s v="USA"/>
    <x v="6"/>
    <x v="1"/>
    <d v="2014-10-27T00:00:00"/>
    <s v="Shipping Company A"/>
    <s v="John Rodman"/>
    <s v="789 25th Street"/>
    <x v="7"/>
    <s v="IL"/>
    <n v="99999"/>
    <x v="0"/>
    <s v="Cash"/>
    <x v="21"/>
    <x v="2"/>
    <n v="10"/>
    <n v="90"/>
    <x v="235"/>
    <n v="87.3"/>
  </r>
  <r>
    <n v="1303"/>
    <x v="118"/>
    <n v="26"/>
    <x v="14"/>
    <s v="789 26th Street"/>
    <x v="9"/>
    <x v="9"/>
    <n v="99999"/>
    <s v="USA"/>
    <x v="5"/>
    <x v="3"/>
    <d v="2014-10-28T00:00:00"/>
    <s v="Shipping Company C"/>
    <s v="Run Liu"/>
    <s v="789 26th Street"/>
    <x v="9"/>
    <s v="FL"/>
    <n v="99999"/>
    <x v="0"/>
    <s v="Credit Card"/>
    <x v="22"/>
    <x v="13"/>
    <n v="21.35"/>
    <n v="49"/>
    <x v="236"/>
    <n v="102.5227"/>
  </r>
  <r>
    <n v="1304"/>
    <x v="118"/>
    <n v="26"/>
    <x v="14"/>
    <s v="789 26th Street"/>
    <x v="9"/>
    <x v="9"/>
    <n v="99999"/>
    <s v="USA"/>
    <x v="5"/>
    <x v="3"/>
    <d v="2014-10-28T00:00:00"/>
    <s v="Shipping Company C"/>
    <s v="Run Liu"/>
    <s v="789 26th Street"/>
    <x v="9"/>
    <s v="FL"/>
    <n v="99999"/>
    <x v="0"/>
    <s v="Credit Card"/>
    <x v="8"/>
    <x v="4"/>
    <n v="9.65"/>
    <n v="71"/>
    <x v="237"/>
    <n v="65.7744"/>
  </r>
  <r>
    <n v="1305"/>
    <x v="118"/>
    <n v="26"/>
    <x v="14"/>
    <s v="789 26th Street"/>
    <x v="9"/>
    <x v="9"/>
    <n v="99999"/>
    <s v="USA"/>
    <x v="5"/>
    <x v="3"/>
    <d v="2014-10-28T00:00:00"/>
    <s v="Shipping Company C"/>
    <s v="Run Liu"/>
    <s v="789 26th Street"/>
    <x v="9"/>
    <s v="FL"/>
    <n v="99999"/>
    <x v="0"/>
    <s v="Credit Card"/>
    <x v="13"/>
    <x v="8"/>
    <n v="18.399999999999999"/>
    <n v="10"/>
    <x v="238"/>
    <n v="19.136000000000003"/>
  </r>
  <r>
    <n v="1306"/>
    <x v="119"/>
    <n v="29"/>
    <x v="4"/>
    <s v="789 29th Street"/>
    <x v="3"/>
    <x v="3"/>
    <n v="99999"/>
    <s v="USA"/>
    <x v="3"/>
    <x v="0"/>
    <d v="2014-10-31T00:00:00"/>
    <s v="Shipping Company B"/>
    <s v="Soo Jung Lee"/>
    <s v="789 29th Street"/>
    <x v="3"/>
    <s v="CO"/>
    <n v="99999"/>
    <x v="0"/>
    <s v="Check"/>
    <x v="0"/>
    <x v="0"/>
    <n v="14"/>
    <n v="78"/>
    <x v="239"/>
    <n v="112.476"/>
  </r>
  <r>
    <n v="1307"/>
    <x v="109"/>
    <n v="6"/>
    <x v="6"/>
    <s v="123 6th Street"/>
    <x v="5"/>
    <x v="5"/>
    <n v="99999"/>
    <s v="USA"/>
    <x v="4"/>
    <x v="2"/>
    <d v="2014-10-08T00:00:00"/>
    <s v="Shipping Company C"/>
    <s v="Francisco Pérez-Olaeta"/>
    <s v="123 6th Street"/>
    <x v="5"/>
    <s v="WI"/>
    <n v="99999"/>
    <x v="0"/>
    <s v="Check"/>
    <x v="7"/>
    <x v="3"/>
    <n v="12.75"/>
    <n v="44"/>
    <x v="134"/>
    <n v="53.856000000000002"/>
  </r>
  <r>
    <n v="1309"/>
    <x v="120"/>
    <n v="4"/>
    <x v="1"/>
    <s v="123 4th Street"/>
    <x v="1"/>
    <x v="1"/>
    <n v="99999"/>
    <s v="USA"/>
    <x v="1"/>
    <x v="1"/>
    <d v="2014-10-06T00:00:00"/>
    <s v="Shipping Company A"/>
    <s v="Christina Lee"/>
    <s v="123 4th Street"/>
    <x v="1"/>
    <s v="NY"/>
    <n v="99999"/>
    <x v="0"/>
    <s v="Credit Card"/>
    <x v="23"/>
    <x v="6"/>
    <n v="81"/>
    <n v="82"/>
    <x v="240"/>
    <n v="697.41000000000008"/>
  </r>
  <r>
    <n v="1310"/>
    <x v="120"/>
    <n v="4"/>
    <x v="1"/>
    <s v="123 4th Street"/>
    <x v="1"/>
    <x v="1"/>
    <n v="99999"/>
    <s v="USA"/>
    <x v="1"/>
    <x v="1"/>
    <d v="2014-10-06T00:00:00"/>
    <s v="Shipping Company A"/>
    <s v="Christina Lee"/>
    <s v="123 4th Street"/>
    <x v="1"/>
    <s v="NY"/>
    <n v="99999"/>
    <x v="0"/>
    <s v="Credit Card"/>
    <x v="24"/>
    <x v="14"/>
    <n v="7"/>
    <n v="29"/>
    <x v="241"/>
    <n v="20.3"/>
  </r>
  <r>
    <n v="1312"/>
    <x v="111"/>
    <n v="8"/>
    <x v="3"/>
    <s v="123 8th Street"/>
    <x v="2"/>
    <x v="2"/>
    <n v="99999"/>
    <s v="USA"/>
    <x v="2"/>
    <x v="2"/>
    <d v="2014-10-10T00:00:00"/>
    <s v="Shipping Company C"/>
    <s v="Elizabeth Andersen"/>
    <s v="123 8th Street"/>
    <x v="2"/>
    <s v="OR"/>
    <n v="99999"/>
    <x v="0"/>
    <s v="Credit Card"/>
    <x v="15"/>
    <x v="10"/>
    <n v="34.799999999999997"/>
    <n v="93"/>
    <x v="242"/>
    <n v="313.93079999999998"/>
  </r>
  <r>
    <n v="1315"/>
    <x v="121"/>
    <n v="3"/>
    <x v="5"/>
    <s v="123 3rd Street"/>
    <x v="4"/>
    <x v="4"/>
    <n v="99999"/>
    <s v="USA"/>
    <x v="0"/>
    <x v="0"/>
    <d v="2014-10-05T00:00:00"/>
    <s v="Shipping Company B"/>
    <s v="Thomas Axerr"/>
    <s v="123 3rd Street"/>
    <x v="4"/>
    <s v="CA"/>
    <n v="99999"/>
    <x v="0"/>
    <s v="Cash"/>
    <x v="16"/>
    <x v="7"/>
    <n v="10"/>
    <n v="11"/>
    <x v="243"/>
    <n v="11.440000000000001"/>
  </r>
  <r>
    <n v="1316"/>
    <x v="121"/>
    <n v="3"/>
    <x v="5"/>
    <s v="123 3rd Street"/>
    <x v="4"/>
    <x v="4"/>
    <n v="99999"/>
    <s v="USA"/>
    <x v="0"/>
    <x v="0"/>
    <d v="2014-10-05T00:00:00"/>
    <s v="Shipping Company B"/>
    <s v="Thomas Axerr"/>
    <s v="123 3rd Street"/>
    <x v="4"/>
    <s v="CA"/>
    <n v="99999"/>
    <x v="0"/>
    <s v="Cash"/>
    <x v="9"/>
    <x v="5"/>
    <n v="40"/>
    <n v="91"/>
    <x v="157"/>
    <n v="364"/>
  </r>
  <r>
    <n v="1320"/>
    <x v="112"/>
    <n v="10"/>
    <x v="8"/>
    <s v="123 10th Street"/>
    <x v="7"/>
    <x v="7"/>
    <n v="99999"/>
    <s v="USA"/>
    <x v="6"/>
    <x v="1"/>
    <d v="2014-10-12T00:00:00"/>
    <s v="Shipping Company B"/>
    <s v="Roland Wacker"/>
    <s v="123 10th Street"/>
    <x v="7"/>
    <s v="IL"/>
    <n v="99999"/>
    <x v="0"/>
    <s v="Credit Card"/>
    <x v="18"/>
    <x v="1"/>
    <n v="10"/>
    <n v="12"/>
    <x v="244"/>
    <n v="12.36"/>
  </r>
  <r>
    <n v="1322"/>
    <x v="112"/>
    <n v="10"/>
    <x v="8"/>
    <s v="123 10th Street"/>
    <x v="7"/>
    <x v="7"/>
    <n v="99999"/>
    <s v="USA"/>
    <x v="6"/>
    <x v="1"/>
    <m/>
    <s v="Shipping Company A"/>
    <s v="Roland Wacker"/>
    <s v="123 10th Street"/>
    <x v="7"/>
    <s v="IL"/>
    <n v="99999"/>
    <x v="0"/>
    <m/>
    <x v="1"/>
    <x v="1"/>
    <n v="3.5"/>
    <n v="78"/>
    <x v="214"/>
    <n v="27.3"/>
  </r>
  <r>
    <n v="1323"/>
    <x v="114"/>
    <n v="11"/>
    <x v="10"/>
    <s v="123 11th Street"/>
    <x v="9"/>
    <x v="9"/>
    <n v="99999"/>
    <s v="USA"/>
    <x v="5"/>
    <x v="3"/>
    <m/>
    <s v="Shipping Company C"/>
    <s v="Peter Krschne"/>
    <s v="123 11th Street"/>
    <x v="9"/>
    <s v="FL"/>
    <n v="99999"/>
    <x v="0"/>
    <m/>
    <x v="9"/>
    <x v="5"/>
    <n v="40"/>
    <n v="60"/>
    <x v="245"/>
    <n v="228"/>
  </r>
  <r>
    <n v="1324"/>
    <x v="115"/>
    <n v="1"/>
    <x v="11"/>
    <s v="123 1st Street"/>
    <x v="10"/>
    <x v="10"/>
    <n v="99999"/>
    <s v="USA"/>
    <x v="2"/>
    <x v="2"/>
    <m/>
    <s v="Shipping Company C"/>
    <s v="Anna Bedecs"/>
    <s v="123 1st Street"/>
    <x v="10"/>
    <s v="WA"/>
    <n v="99999"/>
    <x v="0"/>
    <m/>
    <x v="13"/>
    <x v="8"/>
    <n v="18.399999999999999"/>
    <n v="23"/>
    <x v="246"/>
    <n v="43.589600000000004"/>
  </r>
  <r>
    <n v="1325"/>
    <x v="110"/>
    <n v="28"/>
    <x v="7"/>
    <s v="789 28th Street"/>
    <x v="6"/>
    <x v="6"/>
    <n v="99999"/>
    <s v="USA"/>
    <x v="5"/>
    <x v="3"/>
    <d v="2014-10-30T00:00:00"/>
    <s v="Shipping Company C"/>
    <s v="Amritansh Raghav"/>
    <s v="789 28th Street"/>
    <x v="6"/>
    <s v="TN"/>
    <n v="99999"/>
    <x v="0"/>
    <s v="Credit Card"/>
    <x v="5"/>
    <x v="0"/>
    <n v="46"/>
    <n v="34"/>
    <x v="247"/>
    <n v="157.964"/>
  </r>
  <r>
    <n v="1326"/>
    <x v="116"/>
    <n v="9"/>
    <x v="12"/>
    <s v="123 9th Street"/>
    <x v="11"/>
    <x v="11"/>
    <n v="99999"/>
    <s v="USA"/>
    <x v="7"/>
    <x v="0"/>
    <d v="2014-10-11T00:00:00"/>
    <s v="Shipping Company A"/>
    <s v="Sven Mortensen"/>
    <s v="123 9th Street"/>
    <x v="11"/>
    <s v="UT"/>
    <n v="99999"/>
    <x v="0"/>
    <s v="Check"/>
    <x v="8"/>
    <x v="4"/>
    <n v="9.65"/>
    <n v="89"/>
    <x v="248"/>
    <n v="86.743850000000009"/>
  </r>
  <r>
    <n v="1327"/>
    <x v="109"/>
    <n v="6"/>
    <x v="6"/>
    <s v="123 6th Street"/>
    <x v="5"/>
    <x v="5"/>
    <n v="99999"/>
    <s v="USA"/>
    <x v="4"/>
    <x v="2"/>
    <d v="2014-10-08T00:00:00"/>
    <s v="Shipping Company B"/>
    <s v="Francisco Pérez-Olaeta"/>
    <s v="123 6th Street"/>
    <x v="5"/>
    <s v="WI"/>
    <n v="99999"/>
    <x v="0"/>
    <s v="Credit Card"/>
    <x v="7"/>
    <x v="3"/>
    <n v="12.75"/>
    <n v="82"/>
    <x v="249"/>
    <n v="103.50450000000001"/>
  </r>
  <r>
    <n v="1328"/>
    <x v="111"/>
    <n v="8"/>
    <x v="3"/>
    <s v="123 8th Street"/>
    <x v="2"/>
    <x v="2"/>
    <n v="99999"/>
    <s v="USA"/>
    <x v="2"/>
    <x v="2"/>
    <d v="2014-10-10T00:00:00"/>
    <s v="Shipping Company B"/>
    <s v="Elizabeth Andersen"/>
    <s v="123 8th Street"/>
    <x v="2"/>
    <s v="OR"/>
    <n v="99999"/>
    <x v="0"/>
    <s v="Check"/>
    <x v="7"/>
    <x v="3"/>
    <n v="12.75"/>
    <n v="43"/>
    <x v="250"/>
    <n v="52.631999999999998"/>
  </r>
  <r>
    <n v="1329"/>
    <x v="122"/>
    <n v="10"/>
    <x v="8"/>
    <s v="123 10th Street"/>
    <x v="7"/>
    <x v="7"/>
    <n v="99999"/>
    <s v="USA"/>
    <x v="6"/>
    <x v="1"/>
    <d v="2014-11-12T00:00:00"/>
    <s v="Shipping Company A"/>
    <s v="Roland Wacker"/>
    <s v="123 10th Street"/>
    <x v="7"/>
    <s v="IL"/>
    <n v="99999"/>
    <x v="0"/>
    <m/>
    <x v="12"/>
    <x v="7"/>
    <n v="22"/>
    <n v="96"/>
    <x v="251"/>
    <n v="221.76000000000002"/>
  </r>
  <r>
    <n v="1330"/>
    <x v="122"/>
    <n v="10"/>
    <x v="8"/>
    <s v="123 10th Street"/>
    <x v="7"/>
    <x v="7"/>
    <n v="99999"/>
    <s v="USA"/>
    <x v="6"/>
    <x v="1"/>
    <d v="2014-11-12T00:00:00"/>
    <s v="Shipping Company A"/>
    <s v="Roland Wacker"/>
    <s v="123 10th Street"/>
    <x v="7"/>
    <s v="IL"/>
    <n v="99999"/>
    <x v="0"/>
    <m/>
    <x v="6"/>
    <x v="2"/>
    <n v="9.1999999999999993"/>
    <n v="34"/>
    <x v="252"/>
    <n v="31.279999999999998"/>
  </r>
  <r>
    <n v="1331"/>
    <x v="123"/>
    <n v="11"/>
    <x v="10"/>
    <s v="123 11th Street"/>
    <x v="9"/>
    <x v="9"/>
    <n v="99999"/>
    <s v="USA"/>
    <x v="5"/>
    <x v="3"/>
    <m/>
    <s v="Shipping Company C"/>
    <s v="Peter Krschne"/>
    <s v="123 11th Street"/>
    <x v="9"/>
    <s v="FL"/>
    <n v="99999"/>
    <x v="0"/>
    <m/>
    <x v="1"/>
    <x v="1"/>
    <n v="3.5"/>
    <n v="42"/>
    <x v="253"/>
    <n v="15.141000000000002"/>
  </r>
  <r>
    <n v="1332"/>
    <x v="123"/>
    <n v="11"/>
    <x v="10"/>
    <s v="123 11th Street"/>
    <x v="9"/>
    <x v="9"/>
    <n v="99999"/>
    <s v="USA"/>
    <x v="5"/>
    <x v="3"/>
    <m/>
    <s v="Shipping Company C"/>
    <s v="Peter Krschne"/>
    <s v="123 11th Street"/>
    <x v="9"/>
    <s v="FL"/>
    <n v="99999"/>
    <x v="0"/>
    <m/>
    <x v="10"/>
    <x v="0"/>
    <n v="2.99"/>
    <n v="100"/>
    <x v="254"/>
    <n v="30.498000000000001"/>
  </r>
  <r>
    <n v="1333"/>
    <x v="124"/>
    <n v="1"/>
    <x v="11"/>
    <s v="123 1st Street"/>
    <x v="10"/>
    <x v="10"/>
    <n v="99999"/>
    <s v="USA"/>
    <x v="2"/>
    <x v="2"/>
    <m/>
    <m/>
    <s v="Anna Bedecs"/>
    <s v="123 1st Street"/>
    <x v="10"/>
    <s v="WA"/>
    <n v="99999"/>
    <x v="0"/>
    <m/>
    <x v="4"/>
    <x v="0"/>
    <n v="18"/>
    <n v="42"/>
    <x v="21"/>
    <n v="76.356000000000009"/>
  </r>
  <r>
    <n v="1334"/>
    <x v="124"/>
    <n v="1"/>
    <x v="11"/>
    <s v="123 1st Street"/>
    <x v="10"/>
    <x v="10"/>
    <n v="99999"/>
    <s v="USA"/>
    <x v="2"/>
    <x v="2"/>
    <m/>
    <m/>
    <s v="Anna Bedecs"/>
    <s v="123 1st Street"/>
    <x v="10"/>
    <s v="WA"/>
    <n v="99999"/>
    <x v="0"/>
    <m/>
    <x v="5"/>
    <x v="0"/>
    <n v="46"/>
    <n v="16"/>
    <x v="129"/>
    <n v="70.656000000000006"/>
  </r>
  <r>
    <n v="1335"/>
    <x v="124"/>
    <n v="1"/>
    <x v="11"/>
    <s v="123 1st Street"/>
    <x v="10"/>
    <x v="10"/>
    <n v="99999"/>
    <s v="USA"/>
    <x v="2"/>
    <x v="2"/>
    <m/>
    <m/>
    <s v="Anna Bedecs"/>
    <s v="123 1st Street"/>
    <x v="10"/>
    <s v="WA"/>
    <n v="99999"/>
    <x v="0"/>
    <m/>
    <x v="10"/>
    <x v="0"/>
    <n v="2.99"/>
    <n v="22"/>
    <x v="255"/>
    <n v="6.3806599999999998"/>
  </r>
  <r>
    <n v="1336"/>
    <x v="125"/>
    <n v="28"/>
    <x v="7"/>
    <s v="789 28th Street"/>
    <x v="6"/>
    <x v="6"/>
    <n v="99999"/>
    <s v="USA"/>
    <x v="5"/>
    <x v="3"/>
    <d v="2014-11-30T00:00:00"/>
    <s v="Shipping Company C"/>
    <s v="Amritansh Raghav"/>
    <s v="789 28th Street"/>
    <x v="6"/>
    <s v="TN"/>
    <n v="99999"/>
    <x v="0"/>
    <s v="Credit Card"/>
    <x v="8"/>
    <x v="4"/>
    <n v="9.65"/>
    <n v="46"/>
    <x v="256"/>
    <n v="45.721700000000006"/>
  </r>
  <r>
    <n v="1337"/>
    <x v="125"/>
    <n v="28"/>
    <x v="7"/>
    <s v="789 28th Street"/>
    <x v="6"/>
    <x v="6"/>
    <n v="99999"/>
    <s v="USA"/>
    <x v="5"/>
    <x v="3"/>
    <n v="41973"/>
    <s v="Shipping Company C"/>
    <s v="Amritansh Raghav"/>
    <s v="789 28th Street"/>
    <x v="6"/>
    <s v="TN"/>
    <n v="99999"/>
    <x v="0"/>
    <s v="Credit Card"/>
    <x v="13"/>
    <x v="8"/>
    <n v="18.399999999999999"/>
    <n v="100"/>
    <x v="257"/>
    <n v="184"/>
  </r>
  <r>
    <n v="1338"/>
    <x v="126"/>
    <n v="9"/>
    <x v="12"/>
    <s v="123 9th Street"/>
    <x v="11"/>
    <x v="11"/>
    <n v="99999"/>
    <s v="USA"/>
    <x v="7"/>
    <x v="0"/>
    <n v="41954"/>
    <s v="Shipping Company A"/>
    <s v="Sven Mortensen"/>
    <s v="123 9th Street"/>
    <x v="11"/>
    <s v="UT"/>
    <n v="99999"/>
    <x v="0"/>
    <s v="Check"/>
    <x v="14"/>
    <x v="9"/>
    <n v="19.5"/>
    <n v="87"/>
    <x v="258"/>
    <n v="174.73950000000002"/>
  </r>
  <r>
    <n v="1339"/>
    <x v="126"/>
    <n v="9"/>
    <x v="12"/>
    <s v="123 9th Street"/>
    <x v="11"/>
    <x v="11"/>
    <n v="99999"/>
    <s v="USA"/>
    <x v="7"/>
    <x v="0"/>
    <n v="41954"/>
    <s v="Shipping Company A"/>
    <s v="Sven Mortensen"/>
    <s v="123 9th Street"/>
    <x v="11"/>
    <s v="UT"/>
    <n v="99999"/>
    <x v="0"/>
    <s v="Check"/>
    <x v="15"/>
    <x v="10"/>
    <n v="34.799999999999997"/>
    <n v="58"/>
    <x v="259"/>
    <n v="205.8768"/>
  </r>
  <r>
    <n v="1340"/>
    <x v="127"/>
    <n v="6"/>
    <x v="6"/>
    <s v="123 6th Street"/>
    <x v="5"/>
    <x v="5"/>
    <n v="99999"/>
    <s v="USA"/>
    <x v="4"/>
    <x v="2"/>
    <n v="41951"/>
    <s v="Shipping Company B"/>
    <s v="Francisco Pérez-Olaeta"/>
    <s v="123 6th Street"/>
    <x v="5"/>
    <s v="WI"/>
    <n v="99999"/>
    <x v="0"/>
    <s v="Credit Card"/>
    <x v="0"/>
    <x v="0"/>
    <n v="14"/>
    <n v="85"/>
    <x v="260"/>
    <n v="120.19"/>
  </r>
  <r>
    <n v="1341"/>
    <x v="128"/>
    <n v="8"/>
    <x v="3"/>
    <s v="123 8th Street"/>
    <x v="2"/>
    <x v="2"/>
    <n v="99999"/>
    <s v="USA"/>
    <x v="2"/>
    <x v="2"/>
    <n v="41953"/>
    <s v="Shipping Company B"/>
    <s v="Elizabeth Andersen"/>
    <s v="123 8th Street"/>
    <x v="2"/>
    <s v="OR"/>
    <n v="99999"/>
    <x v="0"/>
    <s v="Check"/>
    <x v="9"/>
    <x v="5"/>
    <n v="40"/>
    <n v="28"/>
    <x v="139"/>
    <n v="110.88"/>
  </r>
  <r>
    <n v="1342"/>
    <x v="128"/>
    <n v="8"/>
    <x v="3"/>
    <s v="123 8th Street"/>
    <x v="2"/>
    <x v="2"/>
    <n v="99999"/>
    <s v="USA"/>
    <x v="2"/>
    <x v="2"/>
    <d v="2014-11-10T00:00:00"/>
    <s v="Shipping Company B"/>
    <s v="Elizabeth Andersen"/>
    <s v="123 8th Street"/>
    <x v="2"/>
    <s v="OR"/>
    <n v="99999"/>
    <x v="0"/>
    <s v="Check"/>
    <x v="6"/>
    <x v="2"/>
    <n v="9.1999999999999993"/>
    <n v="19"/>
    <x v="261"/>
    <n v="17.130400000000002"/>
  </r>
  <r>
    <n v="1343"/>
    <x v="129"/>
    <n v="25"/>
    <x v="13"/>
    <s v="789 25th Street"/>
    <x v="7"/>
    <x v="7"/>
    <n v="99999"/>
    <s v="USA"/>
    <x v="6"/>
    <x v="1"/>
    <d v="2014-11-27T00:00:00"/>
    <s v="Shipping Company A"/>
    <s v="John Rodman"/>
    <s v="789 25th Street"/>
    <x v="7"/>
    <s v="IL"/>
    <n v="99999"/>
    <x v="0"/>
    <s v="Cash"/>
    <x v="21"/>
    <x v="2"/>
    <n v="10"/>
    <n v="99"/>
    <x v="82"/>
    <n v="102.96000000000001"/>
  </r>
  <r>
    <n v="1344"/>
    <x v="130"/>
    <n v="26"/>
    <x v="14"/>
    <s v="789 26th Street"/>
    <x v="9"/>
    <x v="9"/>
    <n v="99999"/>
    <s v="USA"/>
    <x v="5"/>
    <x v="3"/>
    <d v="2014-11-28T00:00:00"/>
    <s v="Shipping Company C"/>
    <s v="Run Liu"/>
    <s v="789 26th Street"/>
    <x v="9"/>
    <s v="FL"/>
    <n v="99999"/>
    <x v="0"/>
    <s v="Credit Card"/>
    <x v="22"/>
    <x v="13"/>
    <n v="21.35"/>
    <n v="69"/>
    <x v="262"/>
    <n v="153.20760000000004"/>
  </r>
  <r>
    <n v="1345"/>
    <x v="130"/>
    <n v="26"/>
    <x v="14"/>
    <s v="789 26th Street"/>
    <x v="9"/>
    <x v="9"/>
    <n v="99999"/>
    <s v="USA"/>
    <x v="5"/>
    <x v="3"/>
    <d v="2014-11-28T00:00:00"/>
    <s v="Shipping Company C"/>
    <s v="Run Liu"/>
    <s v="789 26th Street"/>
    <x v="9"/>
    <s v="FL"/>
    <n v="99999"/>
    <x v="0"/>
    <s v="Credit Card"/>
    <x v="8"/>
    <x v="4"/>
    <n v="9.65"/>
    <n v="37"/>
    <x v="263"/>
    <n v="33.919750000000001"/>
  </r>
  <r>
    <n v="1346"/>
    <x v="130"/>
    <n v="26"/>
    <x v="14"/>
    <s v="789 26th Street"/>
    <x v="9"/>
    <x v="9"/>
    <n v="99999"/>
    <s v="USA"/>
    <x v="5"/>
    <x v="3"/>
    <d v="2014-11-28T00:00:00"/>
    <s v="Shipping Company C"/>
    <s v="Run Liu"/>
    <s v="789 26th Street"/>
    <x v="9"/>
    <s v="FL"/>
    <n v="99999"/>
    <x v="0"/>
    <s v="Credit Card"/>
    <x v="13"/>
    <x v="8"/>
    <n v="18.399999999999999"/>
    <n v="64"/>
    <x v="107"/>
    <n v="118.93759999999999"/>
  </r>
  <r>
    <n v="1347"/>
    <x v="131"/>
    <n v="29"/>
    <x v="4"/>
    <s v="789 29th Street"/>
    <x v="3"/>
    <x v="3"/>
    <n v="99999"/>
    <s v="USA"/>
    <x v="3"/>
    <x v="0"/>
    <d v="2014-12-01T00:00:00"/>
    <s v="Shipping Company B"/>
    <s v="Soo Jung Lee"/>
    <s v="789 29th Street"/>
    <x v="3"/>
    <s v="CO"/>
    <n v="99999"/>
    <x v="0"/>
    <s v="Check"/>
    <x v="0"/>
    <x v="0"/>
    <n v="14"/>
    <n v="38"/>
    <x v="197"/>
    <n v="55.328000000000003"/>
  </r>
  <r>
    <n v="1348"/>
    <x v="127"/>
    <n v="6"/>
    <x v="6"/>
    <s v="123 6th Street"/>
    <x v="5"/>
    <x v="5"/>
    <n v="99999"/>
    <s v="USA"/>
    <x v="4"/>
    <x v="2"/>
    <d v="2014-11-08T00:00:00"/>
    <s v="Shipping Company C"/>
    <s v="Francisco Pérez-Olaeta"/>
    <s v="123 6th Street"/>
    <x v="5"/>
    <s v="WI"/>
    <n v="99999"/>
    <x v="0"/>
    <s v="Check"/>
    <x v="7"/>
    <x v="3"/>
    <n v="12.75"/>
    <n v="15"/>
    <x v="264"/>
    <n v="18.55125"/>
  </r>
  <r>
    <n v="1350"/>
    <x v="132"/>
    <n v="4"/>
    <x v="1"/>
    <s v="123 4th Street"/>
    <x v="1"/>
    <x v="1"/>
    <n v="99999"/>
    <s v="USA"/>
    <x v="1"/>
    <x v="1"/>
    <d v="2014-11-06T00:00:00"/>
    <s v="Shipping Company A"/>
    <s v="Christina Lee"/>
    <s v="123 4th Street"/>
    <x v="1"/>
    <s v="NY"/>
    <n v="99999"/>
    <x v="0"/>
    <s v="Credit Card"/>
    <x v="23"/>
    <x v="6"/>
    <n v="81"/>
    <n v="52"/>
    <x v="265"/>
    <n v="412.77600000000001"/>
  </r>
  <r>
    <n v="1351"/>
    <x v="132"/>
    <n v="4"/>
    <x v="1"/>
    <s v="123 4th Street"/>
    <x v="1"/>
    <x v="1"/>
    <n v="99999"/>
    <s v="USA"/>
    <x v="1"/>
    <x v="1"/>
    <d v="2014-11-06T00:00:00"/>
    <s v="Shipping Company A"/>
    <s v="Christina Lee"/>
    <s v="123 4th Street"/>
    <x v="1"/>
    <s v="NY"/>
    <n v="99999"/>
    <x v="0"/>
    <s v="Credit Card"/>
    <x v="24"/>
    <x v="14"/>
    <n v="7"/>
    <n v="37"/>
    <x v="58"/>
    <n v="25.382000000000001"/>
  </r>
  <r>
    <n v="1353"/>
    <x v="128"/>
    <n v="8"/>
    <x v="3"/>
    <s v="123 8th Street"/>
    <x v="2"/>
    <x v="2"/>
    <n v="99999"/>
    <s v="USA"/>
    <x v="2"/>
    <x v="2"/>
    <d v="2014-11-10T00:00:00"/>
    <s v="Shipping Company C"/>
    <s v="Elizabeth Andersen"/>
    <s v="123 8th Street"/>
    <x v="2"/>
    <s v="OR"/>
    <n v="99999"/>
    <x v="0"/>
    <s v="Credit Card"/>
    <x v="15"/>
    <x v="10"/>
    <n v="34.799999999999997"/>
    <n v="24"/>
    <x v="266"/>
    <n v="80.179199999999994"/>
  </r>
  <r>
    <n v="1356"/>
    <x v="133"/>
    <n v="3"/>
    <x v="5"/>
    <s v="123 3rd Street"/>
    <x v="4"/>
    <x v="4"/>
    <n v="99999"/>
    <s v="USA"/>
    <x v="0"/>
    <x v="0"/>
    <d v="2014-11-05T00:00:00"/>
    <s v="Shipping Company B"/>
    <s v="Thomas Axerr"/>
    <s v="123 3rd Street"/>
    <x v="4"/>
    <s v="CA"/>
    <n v="99999"/>
    <x v="0"/>
    <s v="Cash"/>
    <x v="16"/>
    <x v="7"/>
    <n v="10"/>
    <n v="36"/>
    <x v="267"/>
    <n v="37.08"/>
  </r>
  <r>
    <n v="1357"/>
    <x v="133"/>
    <n v="3"/>
    <x v="5"/>
    <s v="123 3rd Street"/>
    <x v="4"/>
    <x v="4"/>
    <n v="99999"/>
    <s v="USA"/>
    <x v="0"/>
    <x v="0"/>
    <d v="2014-11-05T00:00:00"/>
    <s v="Shipping Company B"/>
    <s v="Thomas Axerr"/>
    <s v="123 3rd Street"/>
    <x v="4"/>
    <s v="CA"/>
    <n v="99999"/>
    <x v="0"/>
    <s v="Cash"/>
    <x v="9"/>
    <x v="5"/>
    <n v="40"/>
    <n v="24"/>
    <x v="268"/>
    <n v="96"/>
  </r>
  <r>
    <n v="1361"/>
    <x v="122"/>
    <n v="10"/>
    <x v="8"/>
    <s v="123 10th Street"/>
    <x v="7"/>
    <x v="7"/>
    <n v="99999"/>
    <s v="USA"/>
    <x v="6"/>
    <x v="1"/>
    <d v="2014-11-12T00:00:00"/>
    <s v="Shipping Company B"/>
    <s v="Roland Wacker"/>
    <s v="123 10th Street"/>
    <x v="7"/>
    <s v="IL"/>
    <n v="99999"/>
    <x v="0"/>
    <s v="Credit Card"/>
    <x v="18"/>
    <x v="1"/>
    <n v="10"/>
    <n v="20"/>
    <x v="269"/>
    <n v="20"/>
  </r>
  <r>
    <n v="1363"/>
    <x v="122"/>
    <n v="10"/>
    <x v="8"/>
    <s v="123 10th Street"/>
    <x v="7"/>
    <x v="7"/>
    <n v="99999"/>
    <s v="USA"/>
    <x v="6"/>
    <x v="1"/>
    <m/>
    <s v="Shipping Company A"/>
    <s v="Roland Wacker"/>
    <s v="123 10th Street"/>
    <x v="7"/>
    <s v="IL"/>
    <n v="99999"/>
    <x v="0"/>
    <m/>
    <x v="1"/>
    <x v="1"/>
    <n v="3.5"/>
    <n v="11"/>
    <x v="4"/>
    <n v="3.7345000000000002"/>
  </r>
  <r>
    <n v="1364"/>
    <x v="123"/>
    <n v="11"/>
    <x v="10"/>
    <s v="123 11th Street"/>
    <x v="9"/>
    <x v="9"/>
    <n v="99999"/>
    <s v="USA"/>
    <x v="5"/>
    <x v="3"/>
    <m/>
    <s v="Shipping Company C"/>
    <s v="Peter Krschne"/>
    <s v="123 11th Street"/>
    <x v="9"/>
    <s v="FL"/>
    <n v="99999"/>
    <x v="0"/>
    <m/>
    <x v="9"/>
    <x v="5"/>
    <n v="40"/>
    <n v="78"/>
    <x v="189"/>
    <n v="299.52"/>
  </r>
  <r>
    <n v="1365"/>
    <x v="124"/>
    <n v="1"/>
    <x v="11"/>
    <s v="123 1st Street"/>
    <x v="10"/>
    <x v="10"/>
    <n v="99999"/>
    <s v="USA"/>
    <x v="2"/>
    <x v="2"/>
    <m/>
    <s v="Shipping Company C"/>
    <s v="Anna Bedecs"/>
    <s v="123 1st Street"/>
    <x v="10"/>
    <s v="WA"/>
    <n v="99999"/>
    <x v="0"/>
    <m/>
    <x v="13"/>
    <x v="8"/>
    <n v="18.399999999999999"/>
    <n v="76"/>
    <x v="270"/>
    <n v="144.0352"/>
  </r>
  <r>
    <n v="1366"/>
    <x v="125"/>
    <n v="28"/>
    <x v="7"/>
    <s v="789 28th Street"/>
    <x v="6"/>
    <x v="6"/>
    <n v="99999"/>
    <s v="USA"/>
    <x v="5"/>
    <x v="3"/>
    <d v="2014-11-30T00:00:00"/>
    <s v="Shipping Company C"/>
    <s v="Amritansh Raghav"/>
    <s v="789 28th Street"/>
    <x v="6"/>
    <s v="TN"/>
    <n v="99999"/>
    <x v="0"/>
    <s v="Credit Card"/>
    <x v="5"/>
    <x v="0"/>
    <n v="46"/>
    <n v="57"/>
    <x v="271"/>
    <n v="272.68799999999999"/>
  </r>
  <r>
    <n v="1367"/>
    <x v="126"/>
    <n v="9"/>
    <x v="12"/>
    <s v="123 9th Street"/>
    <x v="11"/>
    <x v="11"/>
    <n v="99999"/>
    <s v="USA"/>
    <x v="7"/>
    <x v="0"/>
    <d v="2014-11-11T00:00:00"/>
    <s v="Shipping Company A"/>
    <s v="Sven Mortensen"/>
    <s v="123 9th Street"/>
    <x v="11"/>
    <s v="UT"/>
    <n v="99999"/>
    <x v="0"/>
    <s v="Check"/>
    <x v="8"/>
    <x v="4"/>
    <n v="9.65"/>
    <n v="14"/>
    <x v="272"/>
    <n v="12.9696"/>
  </r>
  <r>
    <n v="1368"/>
    <x v="134"/>
    <n v="27"/>
    <x v="0"/>
    <s v="789 27th Street"/>
    <x v="0"/>
    <x v="0"/>
    <n v="99999"/>
    <s v="USA"/>
    <x v="0"/>
    <x v="0"/>
    <d v="2014-12-29T00:00:00"/>
    <s v="Shipping Company B"/>
    <s v="Karen Toh"/>
    <s v="789 27th Street"/>
    <x v="0"/>
    <s v="NV"/>
    <n v="99999"/>
    <x v="0"/>
    <s v="Check"/>
    <x v="0"/>
    <x v="0"/>
    <n v="14"/>
    <n v="14"/>
    <x v="273"/>
    <n v="19.796000000000003"/>
  </r>
  <r>
    <n v="1369"/>
    <x v="134"/>
    <n v="27"/>
    <x v="0"/>
    <s v="789 27th Street"/>
    <x v="0"/>
    <x v="0"/>
    <n v="99999"/>
    <s v="USA"/>
    <x v="0"/>
    <x v="0"/>
    <d v="2014-12-29T00:00:00"/>
    <s v="Shipping Company B"/>
    <s v="Karen Toh"/>
    <s v="789 27th Street"/>
    <x v="0"/>
    <s v="NV"/>
    <n v="99999"/>
    <x v="0"/>
    <s v="Check"/>
    <x v="1"/>
    <x v="1"/>
    <n v="3.5"/>
    <n v="70"/>
    <x v="274"/>
    <n v="25.234999999999999"/>
  </r>
  <r>
    <n v="1370"/>
    <x v="135"/>
    <n v="4"/>
    <x v="1"/>
    <s v="123 4th Street"/>
    <x v="1"/>
    <x v="1"/>
    <n v="99999"/>
    <s v="USA"/>
    <x v="1"/>
    <x v="1"/>
    <d v="2014-12-06T00:00:00"/>
    <s v="Shipping Company A"/>
    <s v="Christina Lee"/>
    <s v="123 4th Street"/>
    <x v="1"/>
    <s v="NY"/>
    <n v="99999"/>
    <x v="0"/>
    <s v="Credit Card"/>
    <x v="2"/>
    <x v="1"/>
    <n v="30"/>
    <n v="100"/>
    <x v="275"/>
    <n v="291"/>
  </r>
  <r>
    <n v="1371"/>
    <x v="135"/>
    <n v="4"/>
    <x v="1"/>
    <s v="123 4th Street"/>
    <x v="1"/>
    <x v="1"/>
    <n v="99999"/>
    <s v="USA"/>
    <x v="1"/>
    <x v="1"/>
    <d v="2014-12-06T00:00:00"/>
    <s v="Shipping Company A"/>
    <s v="Christina Lee"/>
    <s v="123 4th Street"/>
    <x v="1"/>
    <s v="NY"/>
    <n v="99999"/>
    <x v="0"/>
    <s v="Credit Card"/>
    <x v="3"/>
    <x v="1"/>
    <n v="53"/>
    <n v="27"/>
    <x v="276"/>
    <n v="143.1"/>
  </r>
  <r>
    <n v="1372"/>
    <x v="135"/>
    <n v="4"/>
    <x v="1"/>
    <s v="123 4th Street"/>
    <x v="1"/>
    <x v="1"/>
    <n v="99999"/>
    <s v="USA"/>
    <x v="1"/>
    <x v="1"/>
    <d v="2014-12-06T00:00:00"/>
    <s v="Shipping Company A"/>
    <s v="Christina Lee"/>
    <s v="123 4th Street"/>
    <x v="1"/>
    <s v="NY"/>
    <n v="99999"/>
    <x v="0"/>
    <s v="Credit Card"/>
    <x v="1"/>
    <x v="1"/>
    <n v="3.5"/>
    <n v="70"/>
    <x v="274"/>
    <n v="24.009999999999998"/>
  </r>
  <r>
    <n v="1373"/>
    <x v="136"/>
    <n v="12"/>
    <x v="2"/>
    <s v="123 12th Street"/>
    <x v="0"/>
    <x v="0"/>
    <n v="99999"/>
    <s v="USA"/>
    <x v="0"/>
    <x v="0"/>
    <d v="2014-12-14T00:00:00"/>
    <s v="Shipping Company B"/>
    <s v="John Edwards"/>
    <s v="123 12th Street"/>
    <x v="0"/>
    <s v="NV"/>
    <n v="99999"/>
    <x v="0"/>
    <s v="Credit Card"/>
    <x v="4"/>
    <x v="0"/>
    <n v="18"/>
    <n v="57"/>
    <x v="277"/>
    <n v="102.60000000000001"/>
  </r>
  <r>
    <n v="1374"/>
    <x v="136"/>
    <n v="12"/>
    <x v="2"/>
    <s v="123 12th Street"/>
    <x v="0"/>
    <x v="0"/>
    <n v="99999"/>
    <s v="USA"/>
    <x v="0"/>
    <x v="0"/>
    <d v="2014-12-14T00:00:00"/>
    <s v="Shipping Company B"/>
    <s v="John Edwards"/>
    <s v="123 12th Street"/>
    <x v="0"/>
    <s v="NV"/>
    <n v="99999"/>
    <x v="0"/>
    <s v="Credit Card"/>
    <x v="5"/>
    <x v="0"/>
    <n v="46"/>
    <n v="83"/>
    <x v="278"/>
    <n v="374.16399999999999"/>
  </r>
  <r>
    <n v="1375"/>
    <x v="137"/>
    <n v="8"/>
    <x v="3"/>
    <s v="123 8th Street"/>
    <x v="2"/>
    <x v="2"/>
    <n v="99999"/>
    <s v="USA"/>
    <x v="2"/>
    <x v="2"/>
    <d v="2014-12-10T00:00:00"/>
    <s v="Shipping Company C"/>
    <s v="Elizabeth Andersen"/>
    <s v="123 8th Street"/>
    <x v="2"/>
    <s v="OR"/>
    <n v="99999"/>
    <x v="0"/>
    <s v="Credit Card"/>
    <x v="6"/>
    <x v="2"/>
    <n v="9.1999999999999993"/>
    <n v="76"/>
    <x v="279"/>
    <n v="67.123199999999997"/>
  </r>
  <r>
    <n v="1376"/>
    <x v="135"/>
    <n v="4"/>
    <x v="1"/>
    <s v="123 4th Street"/>
    <x v="1"/>
    <x v="1"/>
    <n v="99999"/>
    <s v="USA"/>
    <x v="1"/>
    <x v="1"/>
    <n v="41979"/>
    <s v="Shipping Company C"/>
    <s v="Christina Lee"/>
    <s v="123 4th Street"/>
    <x v="1"/>
    <s v="NY"/>
    <n v="99999"/>
    <x v="0"/>
    <s v="Check"/>
    <x v="6"/>
    <x v="2"/>
    <n v="9.1999999999999993"/>
    <n v="80"/>
    <x v="129"/>
    <n v="72.864000000000004"/>
  </r>
  <r>
    <n v="1377"/>
    <x v="138"/>
    <n v="29"/>
    <x v="4"/>
    <s v="789 29th Street"/>
    <x v="3"/>
    <x v="3"/>
    <n v="99999"/>
    <s v="USA"/>
    <x v="3"/>
    <x v="0"/>
    <n v="42004"/>
    <s v="Shipping Company B"/>
    <s v="Soo Jung Lee"/>
    <s v="789 29th Street"/>
    <x v="3"/>
    <s v="CO"/>
    <n v="99999"/>
    <x v="0"/>
    <s v="Check"/>
    <x v="7"/>
    <x v="3"/>
    <n v="12.75"/>
    <n v="47"/>
    <x v="13"/>
    <n v="59.325750000000006"/>
  </r>
  <r>
    <n v="1378"/>
    <x v="139"/>
    <n v="3"/>
    <x v="5"/>
    <s v="123 3rd Street"/>
    <x v="4"/>
    <x v="4"/>
    <n v="99999"/>
    <s v="USA"/>
    <x v="0"/>
    <x v="0"/>
    <n v="41978"/>
    <s v="Shipping Company B"/>
    <s v="Thomas Axerr"/>
    <s v="123 3rd Street"/>
    <x v="4"/>
    <s v="CA"/>
    <n v="99999"/>
    <x v="0"/>
    <s v="Cash"/>
    <x v="8"/>
    <x v="4"/>
    <n v="9.65"/>
    <n v="96"/>
    <x v="280"/>
    <n v="94.492800000000017"/>
  </r>
  <r>
    <n v="1379"/>
    <x v="140"/>
    <n v="6"/>
    <x v="6"/>
    <s v="123 6th Street"/>
    <x v="5"/>
    <x v="5"/>
    <n v="99999"/>
    <s v="USA"/>
    <x v="4"/>
    <x v="2"/>
    <n v="41981"/>
    <s v="Shipping Company B"/>
    <s v="Francisco Pérez-Olaeta"/>
    <s v="123 6th Street"/>
    <x v="5"/>
    <s v="WI"/>
    <n v="99999"/>
    <x v="0"/>
    <s v="Credit Card"/>
    <x v="9"/>
    <x v="5"/>
    <n v="40"/>
    <n v="32"/>
    <x v="11"/>
    <n v="134.4"/>
  </r>
  <r>
    <n v="1380"/>
    <x v="141"/>
    <n v="28"/>
    <x v="7"/>
    <s v="789 28th Street"/>
    <x v="6"/>
    <x v="6"/>
    <n v="99999"/>
    <s v="USA"/>
    <x v="5"/>
    <x v="3"/>
    <d v="2014-12-30T00:00:00"/>
    <s v="Shipping Company C"/>
    <s v="Amritansh Raghav"/>
    <s v="789 28th Street"/>
    <x v="6"/>
    <s v="TN"/>
    <n v="99999"/>
    <x v="0"/>
    <s v="Check"/>
    <x v="5"/>
    <x v="0"/>
    <n v="46"/>
    <n v="16"/>
    <x v="129"/>
    <n v="73.600000000000009"/>
  </r>
  <r>
    <n v="1381"/>
    <x v="137"/>
    <n v="8"/>
    <x v="3"/>
    <s v="123 8th Street"/>
    <x v="2"/>
    <x v="2"/>
    <n v="99999"/>
    <s v="USA"/>
    <x v="2"/>
    <x v="2"/>
    <d v="2014-12-10T00:00:00"/>
    <s v="Shipping Company C"/>
    <s v="Elizabeth Andersen"/>
    <s v="123 8th Street"/>
    <x v="2"/>
    <s v="OR"/>
    <n v="99999"/>
    <x v="0"/>
    <s v="Check"/>
    <x v="7"/>
    <x v="3"/>
    <n v="12.75"/>
    <n v="41"/>
    <x v="87"/>
    <n v="51.229500000000002"/>
  </r>
  <r>
    <n v="1382"/>
    <x v="142"/>
    <n v="10"/>
    <x v="8"/>
    <s v="123 10th Street"/>
    <x v="7"/>
    <x v="7"/>
    <n v="99999"/>
    <s v="USA"/>
    <x v="6"/>
    <x v="1"/>
    <d v="2014-12-12T00:00:00"/>
    <s v="Shipping Company B"/>
    <s v="Roland Wacker"/>
    <s v="123 10th Street"/>
    <x v="7"/>
    <s v="IL"/>
    <n v="99999"/>
    <x v="0"/>
    <s v="Credit Card"/>
    <x v="10"/>
    <x v="0"/>
    <n v="2.99"/>
    <n v="41"/>
    <x v="281"/>
    <n v="12.871950000000002"/>
  </r>
  <r>
    <n v="1383"/>
    <x v="143"/>
    <n v="7"/>
    <x v="9"/>
    <s v="123 7th Street"/>
    <x v="8"/>
    <x v="8"/>
    <n v="99999"/>
    <s v="USA"/>
    <x v="2"/>
    <x v="2"/>
    <m/>
    <m/>
    <s v="Ming-Yang Xie"/>
    <s v="123 7th Street"/>
    <x v="8"/>
    <s v="ID"/>
    <n v="99999"/>
    <x v="0"/>
    <m/>
    <x v="5"/>
    <x v="0"/>
    <n v="46"/>
    <n v="41"/>
    <x v="282"/>
    <n v="194.25800000000004"/>
  </r>
  <r>
    <n v="1384"/>
    <x v="142"/>
    <n v="10"/>
    <x v="8"/>
    <s v="123 10th Street"/>
    <x v="7"/>
    <x v="7"/>
    <n v="99999"/>
    <s v="USA"/>
    <x v="6"/>
    <x v="1"/>
    <d v="2014-12-12T00:00:00"/>
    <s v="Shipping Company A"/>
    <s v="Roland Wacker"/>
    <s v="123 10th Street"/>
    <x v="7"/>
    <s v="IL"/>
    <n v="99999"/>
    <x v="0"/>
    <m/>
    <x v="11"/>
    <x v="6"/>
    <n v="25"/>
    <n v="94"/>
    <x v="283"/>
    <n v="235"/>
  </r>
  <r>
    <n v="1385"/>
    <x v="142"/>
    <n v="10"/>
    <x v="8"/>
    <s v="123 10th Street"/>
    <x v="7"/>
    <x v="7"/>
    <n v="99999"/>
    <s v="USA"/>
    <x v="6"/>
    <x v="1"/>
    <d v="2014-12-12T00:00:00"/>
    <s v="Shipping Company A"/>
    <s v="Roland Wacker"/>
    <s v="123 10th Street"/>
    <x v="7"/>
    <s v="IL"/>
    <n v="99999"/>
    <x v="0"/>
    <m/>
    <x v="12"/>
    <x v="7"/>
    <n v="22"/>
    <n v="20"/>
    <x v="284"/>
    <n v="46.2"/>
  </r>
  <r>
    <n v="1386"/>
    <x v="142"/>
    <n v="10"/>
    <x v="8"/>
    <s v="123 10th Street"/>
    <x v="7"/>
    <x v="7"/>
    <n v="99999"/>
    <s v="USA"/>
    <x v="6"/>
    <x v="1"/>
    <n v="41985"/>
    <s v="Shipping Company A"/>
    <s v="Roland Wacker"/>
    <s v="123 10th Street"/>
    <x v="7"/>
    <s v="IL"/>
    <n v="99999"/>
    <x v="0"/>
    <m/>
    <x v="6"/>
    <x v="2"/>
    <n v="9.1999999999999993"/>
    <n v="13"/>
    <x v="285"/>
    <n v="12.438400000000001"/>
  </r>
  <r>
    <n v="1387"/>
    <x v="144"/>
    <n v="11"/>
    <x v="10"/>
    <s v="123 11th Street"/>
    <x v="9"/>
    <x v="9"/>
    <n v="99999"/>
    <s v="USA"/>
    <x v="5"/>
    <x v="3"/>
    <m/>
    <s v="Shipping Company C"/>
    <s v="Peter Krschne"/>
    <s v="123 11th Street"/>
    <x v="9"/>
    <s v="FL"/>
    <n v="99999"/>
    <x v="0"/>
    <m/>
    <x v="1"/>
    <x v="1"/>
    <n v="3.5"/>
    <n v="74"/>
    <x v="58"/>
    <n v="26.936000000000003"/>
  </r>
  <r>
    <n v="1388"/>
    <x v="144"/>
    <n v="11"/>
    <x v="10"/>
    <s v="123 11th Street"/>
    <x v="9"/>
    <x v="9"/>
    <n v="99999"/>
    <s v="USA"/>
    <x v="5"/>
    <x v="3"/>
    <m/>
    <s v="Shipping Company C"/>
    <s v="Peter Krschne"/>
    <s v="123 11th Street"/>
    <x v="9"/>
    <s v="FL"/>
    <n v="99999"/>
    <x v="0"/>
    <m/>
    <x v="10"/>
    <x v="0"/>
    <n v="2.99"/>
    <n v="53"/>
    <x v="286"/>
    <n v="16.005470000000003"/>
  </r>
  <r>
    <n v="1389"/>
    <x v="145"/>
    <n v="1"/>
    <x v="11"/>
    <s v="123 1st Street"/>
    <x v="10"/>
    <x v="10"/>
    <n v="99999"/>
    <s v="USA"/>
    <x v="2"/>
    <x v="2"/>
    <m/>
    <m/>
    <s v="Anna Bedecs"/>
    <s v="123 1st Street"/>
    <x v="10"/>
    <s v="WA"/>
    <n v="99999"/>
    <x v="0"/>
    <m/>
    <x v="4"/>
    <x v="0"/>
    <n v="18"/>
    <n v="99"/>
    <x v="287"/>
    <n v="174.63600000000002"/>
  </r>
  <r>
    <n v="1390"/>
    <x v="145"/>
    <n v="1"/>
    <x v="11"/>
    <s v="123 1st Street"/>
    <x v="10"/>
    <x v="10"/>
    <n v="99999"/>
    <s v="USA"/>
    <x v="2"/>
    <x v="2"/>
    <m/>
    <m/>
    <s v="Anna Bedecs"/>
    <s v="123 1st Street"/>
    <x v="10"/>
    <s v="WA"/>
    <n v="99999"/>
    <x v="0"/>
    <m/>
    <x v="5"/>
    <x v="0"/>
    <n v="46"/>
    <n v="89"/>
    <x v="288"/>
    <n v="388.93"/>
  </r>
  <r>
    <n v="1391"/>
    <x v="145"/>
    <n v="1"/>
    <x v="11"/>
    <s v="123 1st Street"/>
    <x v="10"/>
    <x v="10"/>
    <n v="99999"/>
    <s v="USA"/>
    <x v="2"/>
    <x v="2"/>
    <m/>
    <m/>
    <s v="Anna Bedecs"/>
    <s v="123 1st Street"/>
    <x v="10"/>
    <s v="WA"/>
    <n v="99999"/>
    <x v="0"/>
    <m/>
    <x v="10"/>
    <x v="0"/>
    <n v="2.99"/>
    <n v="64"/>
    <x v="200"/>
    <n v="19.518720000000002"/>
  </r>
  <r>
    <n v="1392"/>
    <x v="141"/>
    <n v="28"/>
    <x v="7"/>
    <s v="789 28th Street"/>
    <x v="6"/>
    <x v="6"/>
    <n v="99999"/>
    <s v="USA"/>
    <x v="5"/>
    <x v="3"/>
    <d v="2014-12-30T00:00:00"/>
    <s v="Shipping Company C"/>
    <s v="Amritansh Raghav"/>
    <s v="789 28th Street"/>
    <x v="6"/>
    <s v="TN"/>
    <n v="99999"/>
    <x v="0"/>
    <s v="Credit Card"/>
    <x v="8"/>
    <x v="4"/>
    <n v="9.65"/>
    <n v="98"/>
    <x v="289"/>
    <n v="96.461400000000012"/>
  </r>
  <r>
    <n v="1393"/>
    <x v="141"/>
    <n v="28"/>
    <x v="7"/>
    <s v="789 28th Street"/>
    <x v="6"/>
    <x v="6"/>
    <n v="99999"/>
    <s v="USA"/>
    <x v="5"/>
    <x v="3"/>
    <d v="2014-12-30T00:00:00"/>
    <s v="Shipping Company C"/>
    <s v="Amritansh Raghav"/>
    <s v="789 28th Street"/>
    <x v="6"/>
    <s v="TN"/>
    <n v="99999"/>
    <x v="0"/>
    <s v="Credit Card"/>
    <x v="13"/>
    <x v="8"/>
    <n v="18.399999999999999"/>
    <n v="86"/>
    <x v="290"/>
    <n v="155.0752"/>
  </r>
  <r>
    <n v="1394"/>
    <x v="146"/>
    <n v="9"/>
    <x v="12"/>
    <s v="123 9th Street"/>
    <x v="11"/>
    <x v="11"/>
    <n v="99999"/>
    <s v="USA"/>
    <x v="7"/>
    <x v="0"/>
    <d v="2014-12-11T00:00:00"/>
    <s v="Shipping Company A"/>
    <s v="Sven Mortensen"/>
    <s v="123 9th Street"/>
    <x v="11"/>
    <s v="UT"/>
    <n v="99999"/>
    <x v="0"/>
    <s v="Check"/>
    <x v="14"/>
    <x v="9"/>
    <n v="19.5"/>
    <n v="20"/>
    <x v="291"/>
    <n v="40.950000000000003"/>
  </r>
  <r>
    <n v="1395"/>
    <x v="146"/>
    <n v="9"/>
    <x v="12"/>
    <s v="123 9th Street"/>
    <x v="11"/>
    <x v="11"/>
    <n v="99999"/>
    <s v="USA"/>
    <x v="7"/>
    <x v="0"/>
    <d v="2014-12-11T00:00:00"/>
    <s v="Shipping Company A"/>
    <s v="Sven Mortensen"/>
    <s v="123 9th Street"/>
    <x v="11"/>
    <s v="UT"/>
    <n v="99999"/>
    <x v="0"/>
    <s v="Check"/>
    <x v="15"/>
    <x v="10"/>
    <n v="34.799999999999997"/>
    <n v="69"/>
    <x v="292"/>
    <n v="240.12"/>
  </r>
  <r>
    <n v="1396"/>
    <x v="140"/>
    <n v="6"/>
    <x v="6"/>
    <s v="123 6th Street"/>
    <x v="5"/>
    <x v="5"/>
    <n v="99999"/>
    <s v="USA"/>
    <x v="4"/>
    <x v="2"/>
    <d v="2014-12-08T00:00:00"/>
    <s v="Shipping Company B"/>
    <s v="Francisco Pérez-Olaeta"/>
    <s v="123 6th Street"/>
    <x v="5"/>
    <s v="WI"/>
    <n v="99999"/>
    <x v="0"/>
    <s v="Credit Card"/>
    <x v="0"/>
    <x v="0"/>
    <n v="14"/>
    <n v="68"/>
    <x v="293"/>
    <n v="91.391999999999996"/>
  </r>
  <r>
    <n v="1397"/>
    <x v="137"/>
    <n v="8"/>
    <x v="3"/>
    <s v="123 8th Street"/>
    <x v="2"/>
    <x v="2"/>
    <n v="99999"/>
    <s v="USA"/>
    <x v="2"/>
    <x v="2"/>
    <d v="2014-12-10T00:00:00"/>
    <s v="Shipping Company B"/>
    <s v="Elizabeth Andersen"/>
    <s v="123 8th Street"/>
    <x v="2"/>
    <s v="OR"/>
    <n v="99999"/>
    <x v="0"/>
    <s v="Check"/>
    <x v="9"/>
    <x v="5"/>
    <n v="40"/>
    <n v="52"/>
    <x v="294"/>
    <n v="203.84"/>
  </r>
  <r>
    <n v="1398"/>
    <x v="137"/>
    <n v="8"/>
    <x v="3"/>
    <s v="123 8th Street"/>
    <x v="2"/>
    <x v="2"/>
    <n v="99999"/>
    <s v="USA"/>
    <x v="2"/>
    <x v="2"/>
    <d v="2014-12-10T00:00:00"/>
    <s v="Shipping Company B"/>
    <s v="Elizabeth Andersen"/>
    <s v="123 8th Street"/>
    <x v="2"/>
    <s v="OR"/>
    <n v="99999"/>
    <x v="0"/>
    <s v="Check"/>
    <x v="6"/>
    <x v="2"/>
    <n v="9.1999999999999993"/>
    <n v="40"/>
    <x v="295"/>
    <n v="38.640000000000008"/>
  </r>
  <r>
    <n v="1399"/>
    <x v="147"/>
    <n v="25"/>
    <x v="13"/>
    <s v="789 25th Street"/>
    <x v="7"/>
    <x v="7"/>
    <n v="99999"/>
    <s v="USA"/>
    <x v="6"/>
    <x v="1"/>
    <d v="2014-12-27T00:00:00"/>
    <s v="Shipping Company A"/>
    <s v="John Rodman"/>
    <s v="789 25th Street"/>
    <x v="7"/>
    <s v="IL"/>
    <n v="99999"/>
    <x v="0"/>
    <s v="Cash"/>
    <x v="21"/>
    <x v="2"/>
    <n v="10"/>
    <n v="100"/>
    <x v="116"/>
    <n v="98"/>
  </r>
  <r>
    <n v="1400"/>
    <x v="148"/>
    <n v="26"/>
    <x v="14"/>
    <s v="789 26th Street"/>
    <x v="9"/>
    <x v="9"/>
    <n v="99999"/>
    <s v="USA"/>
    <x v="5"/>
    <x v="3"/>
    <d v="2014-12-28T00:00:00"/>
    <s v="Shipping Company C"/>
    <s v="Run Liu"/>
    <s v="789 26th Street"/>
    <x v="9"/>
    <s v="FL"/>
    <n v="99999"/>
    <x v="0"/>
    <s v="Credit Card"/>
    <x v="22"/>
    <x v="13"/>
    <n v="21.35"/>
    <n v="88"/>
    <x v="296"/>
    <n v="184.12240000000003"/>
  </r>
  <r>
    <n v="1401"/>
    <x v="148"/>
    <n v="26"/>
    <x v="14"/>
    <s v="789 26th Street"/>
    <x v="9"/>
    <x v="9"/>
    <n v="99999"/>
    <s v="USA"/>
    <x v="5"/>
    <x v="3"/>
    <d v="2014-12-28T00:00:00"/>
    <s v="Shipping Company C"/>
    <s v="Run Liu"/>
    <s v="789 26th Street"/>
    <x v="9"/>
    <s v="FL"/>
    <n v="99999"/>
    <x v="0"/>
    <s v="Credit Card"/>
    <x v="8"/>
    <x v="4"/>
    <n v="9.65"/>
    <n v="46"/>
    <x v="256"/>
    <n v="42.614400000000003"/>
  </r>
  <r>
    <n v="1402"/>
    <x v="148"/>
    <n v="26"/>
    <x v="14"/>
    <s v="789 26th Street"/>
    <x v="9"/>
    <x v="9"/>
    <n v="99999"/>
    <s v="USA"/>
    <x v="5"/>
    <x v="3"/>
    <d v="2014-12-28T00:00:00"/>
    <s v="Shipping Company C"/>
    <s v="Run Liu"/>
    <s v="789 26th Street"/>
    <x v="9"/>
    <s v="FL"/>
    <n v="99999"/>
    <x v="0"/>
    <s v="Credit Card"/>
    <x v="13"/>
    <x v="8"/>
    <n v="18.399999999999999"/>
    <n v="93"/>
    <x v="297"/>
    <n v="167.69759999999999"/>
  </r>
  <r>
    <n v="1403"/>
    <x v="138"/>
    <n v="29"/>
    <x v="4"/>
    <s v="789 29th Street"/>
    <x v="3"/>
    <x v="3"/>
    <n v="99999"/>
    <s v="USA"/>
    <x v="3"/>
    <x v="0"/>
    <d v="2014-12-31T00:00:00"/>
    <s v="Shipping Company B"/>
    <s v="Soo Jung Lee"/>
    <s v="789 29th Street"/>
    <x v="3"/>
    <s v="CO"/>
    <n v="99999"/>
    <x v="0"/>
    <s v="Check"/>
    <x v="0"/>
    <x v="0"/>
    <n v="14"/>
    <n v="96"/>
    <x v="298"/>
    <n v="141.12"/>
  </r>
  <r>
    <n v="1404"/>
    <x v="140"/>
    <n v="6"/>
    <x v="6"/>
    <s v="123 6th Street"/>
    <x v="5"/>
    <x v="5"/>
    <n v="99999"/>
    <s v="USA"/>
    <x v="4"/>
    <x v="2"/>
    <d v="2014-12-08T00:00:00"/>
    <s v="Shipping Company C"/>
    <s v="Francisco Pérez-Olaeta"/>
    <s v="123 6th Street"/>
    <x v="5"/>
    <s v="WI"/>
    <n v="99999"/>
    <x v="0"/>
    <s v="Check"/>
    <x v="7"/>
    <x v="3"/>
    <n v="12.75"/>
    <n v="12"/>
    <x v="299"/>
    <n v="16.065000000000001"/>
  </r>
  <r>
    <n v="1406"/>
    <x v="135"/>
    <n v="4"/>
    <x v="1"/>
    <s v="123 4th Street"/>
    <x v="1"/>
    <x v="1"/>
    <n v="99999"/>
    <s v="USA"/>
    <x v="1"/>
    <x v="1"/>
    <d v="2014-12-06T00:00:00"/>
    <s v="Shipping Company A"/>
    <s v="Christina Lee"/>
    <s v="123 4th Street"/>
    <x v="1"/>
    <s v="NY"/>
    <n v="99999"/>
    <x v="0"/>
    <s v="Credit Card"/>
    <x v="23"/>
    <x v="6"/>
    <n v="81"/>
    <n v="38"/>
    <x v="300"/>
    <n v="292.41000000000003"/>
  </r>
  <r>
    <n v="1407"/>
    <x v="135"/>
    <n v="4"/>
    <x v="1"/>
    <s v="123 4th Street"/>
    <x v="1"/>
    <x v="1"/>
    <n v="99999"/>
    <s v="USA"/>
    <x v="1"/>
    <x v="1"/>
    <d v="2014-12-06T00:00:00"/>
    <s v="Shipping Company A"/>
    <s v="Christina Lee"/>
    <s v="123 4th Street"/>
    <x v="1"/>
    <s v="NY"/>
    <n v="99999"/>
    <x v="0"/>
    <s v="Credit Card"/>
    <x v="24"/>
    <x v="14"/>
    <n v="7"/>
    <n v="42"/>
    <x v="108"/>
    <n v="29.106000000000002"/>
  </r>
  <r>
    <n v="1409"/>
    <x v="137"/>
    <n v="8"/>
    <x v="3"/>
    <s v="123 8th Street"/>
    <x v="2"/>
    <x v="2"/>
    <n v="99999"/>
    <s v="USA"/>
    <x v="2"/>
    <x v="2"/>
    <d v="2014-12-10T00:00:00"/>
    <s v="Shipping Company C"/>
    <s v="Elizabeth Andersen"/>
    <s v="123 8th Street"/>
    <x v="2"/>
    <s v="OR"/>
    <n v="99999"/>
    <x v="0"/>
    <s v="Credit Card"/>
    <x v="15"/>
    <x v="10"/>
    <n v="34.799999999999997"/>
    <n v="100"/>
    <x v="301"/>
    <n v="344.52"/>
  </r>
  <r>
    <n v="1412"/>
    <x v="139"/>
    <n v="3"/>
    <x v="5"/>
    <s v="123 3rd Street"/>
    <x v="4"/>
    <x v="4"/>
    <n v="99999"/>
    <s v="USA"/>
    <x v="0"/>
    <x v="0"/>
    <d v="2014-12-05T00:00:00"/>
    <s v="Shipping Company B"/>
    <s v="Thomas Axerr"/>
    <s v="123 3rd Street"/>
    <x v="4"/>
    <s v="CA"/>
    <n v="99999"/>
    <x v="0"/>
    <s v="Cash"/>
    <x v="16"/>
    <x v="7"/>
    <n v="10"/>
    <n v="89"/>
    <x v="302"/>
    <n v="87.22"/>
  </r>
  <r>
    <n v="1413"/>
    <x v="139"/>
    <n v="3"/>
    <x v="5"/>
    <s v="123 3rd Street"/>
    <x v="4"/>
    <x v="4"/>
    <n v="99999"/>
    <s v="USA"/>
    <x v="0"/>
    <x v="0"/>
    <d v="2014-12-05T00:00:00"/>
    <s v="Shipping Company B"/>
    <s v="Thomas Axerr"/>
    <s v="123 3rd Street"/>
    <x v="4"/>
    <s v="CA"/>
    <n v="99999"/>
    <x v="0"/>
    <s v="Cash"/>
    <x v="9"/>
    <x v="5"/>
    <n v="40"/>
    <n v="12"/>
    <x v="60"/>
    <n v="46.56"/>
  </r>
  <r>
    <n v="1417"/>
    <x v="142"/>
    <n v="10"/>
    <x v="8"/>
    <s v="123 10th Street"/>
    <x v="7"/>
    <x v="7"/>
    <n v="99999"/>
    <s v="USA"/>
    <x v="6"/>
    <x v="1"/>
    <d v="2014-12-12T00:00:00"/>
    <s v="Shipping Company B"/>
    <s v="Roland Wacker"/>
    <s v="123 10th Street"/>
    <x v="7"/>
    <s v="IL"/>
    <n v="99999"/>
    <x v="0"/>
    <s v="Credit Card"/>
    <x v="18"/>
    <x v="1"/>
    <n v="10"/>
    <n v="97"/>
    <x v="303"/>
    <n v="100.88000000000001"/>
  </r>
  <r>
    <n v="1419"/>
    <x v="142"/>
    <n v="10"/>
    <x v="8"/>
    <s v="123 10th Street"/>
    <x v="7"/>
    <x v="7"/>
    <n v="99999"/>
    <s v="USA"/>
    <x v="6"/>
    <x v="1"/>
    <m/>
    <s v="Shipping Company A"/>
    <s v="Roland Wacker"/>
    <s v="123 10th Street"/>
    <x v="7"/>
    <s v="IL"/>
    <n v="99999"/>
    <x v="0"/>
    <m/>
    <x v="1"/>
    <x v="1"/>
    <n v="3.5"/>
    <n v="53"/>
    <x v="304"/>
    <n v="17.622499999999999"/>
  </r>
  <r>
    <n v="1420"/>
    <x v="144"/>
    <n v="11"/>
    <x v="10"/>
    <s v="123 11th Street"/>
    <x v="9"/>
    <x v="9"/>
    <n v="99999"/>
    <s v="USA"/>
    <x v="5"/>
    <x v="3"/>
    <m/>
    <s v="Shipping Company C"/>
    <s v="Peter Krschne"/>
    <s v="123 11th Street"/>
    <x v="9"/>
    <s v="FL"/>
    <n v="99999"/>
    <x v="0"/>
    <m/>
    <x v="9"/>
    <x v="5"/>
    <n v="40"/>
    <n v="61"/>
    <x v="305"/>
    <n v="248.88"/>
  </r>
  <r>
    <n v="1421"/>
    <x v="145"/>
    <n v="1"/>
    <x v="11"/>
    <s v="123 1st Street"/>
    <x v="10"/>
    <x v="10"/>
    <n v="99999"/>
    <s v="USA"/>
    <x v="2"/>
    <x v="2"/>
    <m/>
    <s v="Shipping Company C"/>
    <s v="Anna Bedecs"/>
    <s v="123 1st Street"/>
    <x v="10"/>
    <s v="WA"/>
    <n v="99999"/>
    <x v="0"/>
    <m/>
    <x v="13"/>
    <x v="8"/>
    <n v="18.399999999999999"/>
    <n v="45"/>
    <x v="306"/>
    <n v="81.143999999999991"/>
  </r>
  <r>
    <n v="1422"/>
    <x v="141"/>
    <n v="28"/>
    <x v="7"/>
    <s v="789 28th Street"/>
    <x v="6"/>
    <x v="6"/>
    <n v="99999"/>
    <s v="USA"/>
    <x v="5"/>
    <x v="3"/>
    <d v="2014-12-30T00:00:00"/>
    <s v="Shipping Company C"/>
    <s v="Amritansh Raghav"/>
    <s v="789 28th Street"/>
    <x v="6"/>
    <s v="TN"/>
    <n v="99999"/>
    <x v="0"/>
    <s v="Credit Card"/>
    <x v="5"/>
    <x v="0"/>
    <n v="46"/>
    <n v="43"/>
    <x v="307"/>
    <n v="197.8"/>
  </r>
  <r>
    <n v="1423"/>
    <x v="146"/>
    <n v="9"/>
    <x v="12"/>
    <s v="123 9th Street"/>
    <x v="11"/>
    <x v="11"/>
    <n v="99999"/>
    <s v="USA"/>
    <x v="7"/>
    <x v="0"/>
    <d v="2014-12-11T00:00:00"/>
    <s v="Shipping Company A"/>
    <s v="Sven Mortensen"/>
    <s v="123 9th Street"/>
    <x v="11"/>
    <s v="UT"/>
    <n v="99999"/>
    <x v="0"/>
    <s v="Check"/>
    <x v="8"/>
    <x v="4"/>
    <n v="9.65"/>
    <n v="18"/>
    <x v="308"/>
    <n v="16.5015"/>
  </r>
  <r>
    <n v="1424"/>
    <x v="140"/>
    <n v="6"/>
    <x v="6"/>
    <s v="123 6th Street"/>
    <x v="5"/>
    <x v="5"/>
    <n v="99999"/>
    <s v="USA"/>
    <x v="4"/>
    <x v="2"/>
    <d v="2014-12-08T00:00:00"/>
    <s v="Shipping Company B"/>
    <s v="Francisco Pérez-Olaeta"/>
    <s v="123 6th Street"/>
    <x v="5"/>
    <s v="WI"/>
    <n v="99999"/>
    <x v="0"/>
    <s v="Credit Card"/>
    <x v="7"/>
    <x v="3"/>
    <n v="12.75"/>
    <n v="41"/>
    <x v="87"/>
    <n v="50.706750000000007"/>
  </r>
  <r>
    <n v="1425"/>
    <x v="137"/>
    <n v="8"/>
    <x v="3"/>
    <s v="123 8th Street"/>
    <x v="2"/>
    <x v="2"/>
    <n v="99999"/>
    <s v="USA"/>
    <x v="2"/>
    <x v="2"/>
    <n v="41983"/>
    <s v="Shipping Company B"/>
    <s v="Elizabeth Andersen"/>
    <s v="123 8th Street"/>
    <x v="2"/>
    <s v="OR"/>
    <n v="99999"/>
    <x v="0"/>
    <s v="Check"/>
    <x v="7"/>
    <x v="3"/>
    <n v="12.75"/>
    <n v="19"/>
    <x v="109"/>
    <n v="23.982750000000003"/>
  </r>
  <r>
    <n v="1426"/>
    <x v="147"/>
    <n v="25"/>
    <x v="13"/>
    <s v="789 25th Street"/>
    <x v="7"/>
    <x v="7"/>
    <n v="99999"/>
    <s v="USA"/>
    <x v="6"/>
    <x v="1"/>
    <n v="42000"/>
    <s v="Shipping Company A"/>
    <s v="John Rodman"/>
    <s v="789 25th Street"/>
    <x v="7"/>
    <s v="IL"/>
    <n v="99999"/>
    <x v="0"/>
    <s v="Cash"/>
    <x v="12"/>
    <x v="7"/>
    <n v="22"/>
    <n v="65"/>
    <x v="309"/>
    <n v="138.71"/>
  </r>
  <r>
    <n v="1427"/>
    <x v="148"/>
    <n v="26"/>
    <x v="14"/>
    <s v="789 26th Street"/>
    <x v="9"/>
    <x v="9"/>
    <n v="99999"/>
    <s v="USA"/>
    <x v="5"/>
    <x v="3"/>
    <n v="42001"/>
    <s v="Shipping Company C"/>
    <s v="Run Liu"/>
    <s v="789 26th Street"/>
    <x v="9"/>
    <s v="FL"/>
    <n v="99999"/>
    <x v="0"/>
    <s v="Credit Card"/>
    <x v="11"/>
    <x v="6"/>
    <n v="25"/>
    <n v="13"/>
    <x v="310"/>
    <n v="32.174999999999997"/>
  </r>
  <r>
    <n v="1428"/>
    <x v="138"/>
    <n v="29"/>
    <x v="4"/>
    <s v="789 29th Street"/>
    <x v="3"/>
    <x v="3"/>
    <n v="99999"/>
    <s v="USA"/>
    <x v="3"/>
    <x v="0"/>
    <n v="42004"/>
    <s v="Shipping Company B"/>
    <s v="Soo Jung Lee"/>
    <s v="789 29th Street"/>
    <x v="3"/>
    <s v="CO"/>
    <n v="99999"/>
    <x v="0"/>
    <s v="Check"/>
    <x v="19"/>
    <x v="12"/>
    <n v="39"/>
    <n v="54"/>
    <x v="311"/>
    <n v="214.81200000000004"/>
  </r>
  <r>
    <n v="1429"/>
    <x v="140"/>
    <n v="6"/>
    <x v="6"/>
    <s v="123 6th Street"/>
    <x v="5"/>
    <x v="5"/>
    <n v="99999"/>
    <s v="USA"/>
    <x v="4"/>
    <x v="2"/>
    <d v="2014-12-08T00:00:00"/>
    <s v="Shipping Company C"/>
    <s v="Francisco Pérez-Olaeta"/>
    <s v="123 6th Street"/>
    <x v="5"/>
    <s v="WI"/>
    <n v="99999"/>
    <x v="0"/>
    <s v="Check"/>
    <x v="2"/>
    <x v="1"/>
    <n v="30"/>
    <n v="33"/>
    <x v="82"/>
    <n v="95.039999999999992"/>
  </r>
  <r>
    <n v="1430"/>
    <x v="140"/>
    <n v="6"/>
    <x v="6"/>
    <s v="123 6th Street"/>
    <x v="5"/>
    <x v="5"/>
    <n v="99999"/>
    <s v="USA"/>
    <x v="4"/>
    <x v="2"/>
    <d v="2014-12-08T00:00:00"/>
    <s v="Shipping Company C"/>
    <s v="Francisco Pérez-Olaeta"/>
    <s v="123 6th Street"/>
    <x v="5"/>
    <s v="WI"/>
    <n v="99999"/>
    <x v="0"/>
    <s v="Check"/>
    <x v="3"/>
    <x v="1"/>
    <n v="53"/>
    <n v="34"/>
    <x v="312"/>
    <n v="185.60600000000002"/>
  </r>
  <r>
    <n v="1431"/>
    <x v="135"/>
    <n v="4"/>
    <x v="1"/>
    <s v="123 4th Street"/>
    <x v="1"/>
    <x v="1"/>
    <n v="99999"/>
    <s v="USA"/>
    <x v="1"/>
    <x v="1"/>
    <m/>
    <m/>
    <s v="Christina Lee"/>
    <s v="123 4th Street"/>
    <x v="1"/>
    <s v="NY"/>
    <n v="99999"/>
    <x v="0"/>
    <m/>
    <x v="20"/>
    <x v="9"/>
    <n v="38"/>
    <n v="59"/>
    <x v="313"/>
    <n v="226.44200000000001"/>
  </r>
  <r>
    <n v="1432"/>
    <x v="139"/>
    <n v="3"/>
    <x v="5"/>
    <s v="123 3rd Street"/>
    <x v="4"/>
    <x v="4"/>
    <n v="99999"/>
    <s v="USA"/>
    <x v="0"/>
    <x v="0"/>
    <m/>
    <m/>
    <s v="Thomas Axerr"/>
    <s v="123 3rd Street"/>
    <x v="4"/>
    <s v="CA"/>
    <n v="99999"/>
    <x v="0"/>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0">
  <location ref="A3:B16" firstHeaderRow="1"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24" baseField="0" baseItem="0"/>
  </dataFields>
  <chartFormats count="2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 count="1" selected="0">
            <x v="2"/>
          </reference>
        </references>
      </pivotArea>
    </chartFormat>
    <chartFormat chart="16" format="9">
      <pivotArea type="data" outline="0" fieldPosition="0">
        <references count="2">
          <reference field="4294967294" count="1" selected="0">
            <x v="0"/>
          </reference>
          <reference field="1" count="1" selected="0">
            <x v="5"/>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2"/>
          </reference>
        </references>
      </pivotArea>
    </chartFormat>
    <chartFormat chart="20"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2"/>
          </reference>
        </references>
      </pivotArea>
    </chartFormat>
    <chartFormat chart="23" format="8"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25" format="10">
      <pivotArea type="data" outline="0" fieldPosition="0">
        <references count="2">
          <reference field="4294967294" count="1" selected="0">
            <x v="0"/>
          </reference>
          <reference field="1" count="1" selected="0">
            <x v="10"/>
          </reference>
        </references>
      </pivotArea>
    </chartFormat>
    <chartFormat chart="2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3:B14"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3"/>
  </rowFields>
  <rowItems count="11">
    <i>
      <x v="9"/>
    </i>
    <i>
      <x v="6"/>
    </i>
    <i>
      <x v="12"/>
    </i>
    <i>
      <x v="8"/>
    </i>
    <i>
      <x v="14"/>
    </i>
    <i>
      <x v="5"/>
    </i>
    <i>
      <x v="4"/>
    </i>
    <i>
      <x/>
    </i>
    <i>
      <x v="11"/>
    </i>
    <i>
      <x v="3"/>
    </i>
    <i t="grand">
      <x/>
    </i>
  </rowItems>
  <colItems count="1">
    <i/>
  </colItems>
  <dataFields count="1">
    <dataField name="Sum of Revenue" fld="24" baseField="0" baseItem="0" numFmtId="165"/>
  </dataFields>
  <chartFormats count="2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9"/>
          </reference>
        </references>
      </pivotArea>
    </chartFormat>
    <chartFormat chart="3" format="4">
      <pivotArea type="data" outline="0" fieldPosition="0">
        <references count="2">
          <reference field="4294967294" count="1" selected="0">
            <x v="0"/>
          </reference>
          <reference field="3" count="1" selected="0">
            <x v="6"/>
          </reference>
        </references>
      </pivotArea>
    </chartFormat>
    <chartFormat chart="3" format="5">
      <pivotArea type="data" outline="0" fieldPosition="0">
        <references count="2">
          <reference field="4294967294" count="1" selected="0">
            <x v="0"/>
          </reference>
          <reference field="3" count="1" selected="0">
            <x v="1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3" format="7">
      <pivotArea type="data" outline="0" fieldPosition="0">
        <references count="2">
          <reference field="4294967294" count="1" selected="0">
            <x v="0"/>
          </reference>
          <reference field="3" count="1" selected="0">
            <x v="11"/>
          </reference>
        </references>
      </pivotArea>
    </chartFormat>
    <chartFormat chart="3" format="8">
      <pivotArea type="data" outline="0" fieldPosition="0">
        <references count="2">
          <reference field="4294967294" count="1" selected="0">
            <x v="0"/>
          </reference>
          <reference field="3" count="1" selected="0">
            <x v="8"/>
          </reference>
        </references>
      </pivotArea>
    </chartFormat>
    <chartFormat chart="3" format="9">
      <pivotArea type="data" outline="0" fieldPosition="0">
        <references count="2">
          <reference field="4294967294" count="1" selected="0">
            <x v="0"/>
          </reference>
          <reference field="3" count="1" selected="0">
            <x v="14"/>
          </reference>
        </references>
      </pivotArea>
    </chartFormat>
    <chartFormat chart="3" format="10">
      <pivotArea type="data" outline="0" fieldPosition="0">
        <references count="2">
          <reference field="4294967294" count="1" selected="0">
            <x v="0"/>
          </reference>
          <reference field="3" count="1" selected="0">
            <x v="0"/>
          </reference>
        </references>
      </pivotArea>
    </chartFormat>
    <chartFormat chart="3" format="11">
      <pivotArea type="data" outline="0" fieldPosition="0">
        <references count="2">
          <reference field="4294967294" count="1" selected="0">
            <x v="0"/>
          </reference>
          <reference field="3" count="1" selected="0">
            <x v="4"/>
          </reference>
        </references>
      </pivotArea>
    </chartFormat>
    <chartFormat chart="3" format="12">
      <pivotArea type="data" outline="0" fieldPosition="0">
        <references count="2">
          <reference field="4294967294" count="1" selected="0">
            <x v="0"/>
          </reference>
          <reference field="3" count="1" selected="0">
            <x v="5"/>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3" count="1" selected="0">
            <x v="9"/>
          </reference>
        </references>
      </pivotArea>
    </chartFormat>
    <chartFormat chart="11" format="26">
      <pivotArea type="data" outline="0" fieldPosition="0">
        <references count="2">
          <reference field="4294967294" count="1" selected="0">
            <x v="0"/>
          </reference>
          <reference field="3" count="1" selected="0">
            <x v="6"/>
          </reference>
        </references>
      </pivotArea>
    </chartFormat>
    <chartFormat chart="11" format="27">
      <pivotArea type="data" outline="0" fieldPosition="0">
        <references count="2">
          <reference field="4294967294" count="1" selected="0">
            <x v="0"/>
          </reference>
          <reference field="3" count="1" selected="0">
            <x v="12"/>
          </reference>
        </references>
      </pivotArea>
    </chartFormat>
    <chartFormat chart="11" format="28">
      <pivotArea type="data" outline="0" fieldPosition="0">
        <references count="2">
          <reference field="4294967294" count="1" selected="0">
            <x v="0"/>
          </reference>
          <reference field="3" count="1" selected="0">
            <x v="8"/>
          </reference>
        </references>
      </pivotArea>
    </chartFormat>
    <chartFormat chart="11" format="29">
      <pivotArea type="data" outline="0" fieldPosition="0">
        <references count="2">
          <reference field="4294967294" count="1" selected="0">
            <x v="0"/>
          </reference>
          <reference field="3" count="1" selected="0">
            <x v="14"/>
          </reference>
        </references>
      </pivotArea>
    </chartFormat>
    <chartFormat chart="11" format="30">
      <pivotArea type="data" outline="0" fieldPosition="0">
        <references count="2">
          <reference field="4294967294" count="1" selected="0">
            <x v="0"/>
          </reference>
          <reference field="3" count="1" selected="0">
            <x v="5"/>
          </reference>
        </references>
      </pivotArea>
    </chartFormat>
    <chartFormat chart="11" format="31">
      <pivotArea type="data" outline="0" fieldPosition="0">
        <references count="2">
          <reference field="4294967294" count="1" selected="0">
            <x v="0"/>
          </reference>
          <reference field="3" count="1" selected="0">
            <x v="4"/>
          </reference>
        </references>
      </pivotArea>
    </chartFormat>
    <chartFormat chart="11" format="32">
      <pivotArea type="data" outline="0" fieldPosition="0">
        <references count="2">
          <reference field="4294967294" count="1" selected="0">
            <x v="0"/>
          </reference>
          <reference field="3" count="1" selected="0">
            <x v="0"/>
          </reference>
        </references>
      </pivotArea>
    </chartFormat>
    <chartFormat chart="11" format="33">
      <pivotArea type="data" outline="0" fieldPosition="0">
        <references count="2">
          <reference field="4294967294" count="1" selected="0">
            <x v="0"/>
          </reference>
          <reference field="3" count="1" selected="0">
            <x v="11"/>
          </reference>
        </references>
      </pivotArea>
    </chartFormat>
    <chartFormat chart="11" format="34">
      <pivotArea type="data" outline="0" fieldPosition="0">
        <references count="2">
          <reference field="4294967294" count="1" selected="0">
            <x v="0"/>
          </reference>
          <reference field="3" count="1" selected="0">
            <x v="3"/>
          </reference>
        </references>
      </pivotArea>
    </chartFormat>
    <chartFormat chart="11" format="35">
      <pivotArea type="data" outline="0" fieldPosition="0">
        <references count="2">
          <reference field="4294967294" count="1" selected="0">
            <x v="0"/>
          </reference>
          <reference field="3" count="1" selected="0">
            <x v="7"/>
          </reference>
        </references>
      </pivotArea>
    </chartFormat>
    <chartFormat chart="11" format="36">
      <pivotArea type="data" outline="0" fieldPosition="0">
        <references count="2">
          <reference field="4294967294" count="1" selected="0">
            <x v="0"/>
          </reference>
          <reference field="3" count="1" selected="0">
            <x v="13"/>
          </reference>
        </references>
      </pivotArea>
    </chartFormat>
    <chartFormat chart="11" format="37">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6">
  <location ref="A3:B12"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9"/>
  </rowFields>
  <rowItems count="9">
    <i>
      <x v="1"/>
    </i>
    <i>
      <x v="6"/>
    </i>
    <i>
      <x v="7"/>
    </i>
    <i>
      <x v="3"/>
    </i>
    <i>
      <x v="4"/>
    </i>
    <i>
      <x v="2"/>
    </i>
    <i>
      <x/>
    </i>
    <i>
      <x v="5"/>
    </i>
    <i t="grand">
      <x/>
    </i>
  </rowItems>
  <colItems count="1">
    <i/>
  </colItems>
  <dataFields count="1">
    <dataField name="Sum of Revenue" fld="24" baseField="0" baseItem="0" numFmtId="165"/>
  </dataFields>
  <chartFormats count="19">
    <chartFormat chart="3"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9" count="1" selected="0">
            <x v="1"/>
          </reference>
        </references>
      </pivotArea>
    </chartFormat>
    <chartFormat chart="8" format="23">
      <pivotArea type="data" outline="0" fieldPosition="0">
        <references count="2">
          <reference field="4294967294" count="1" selected="0">
            <x v="0"/>
          </reference>
          <reference field="9" count="1" selected="0">
            <x v="6"/>
          </reference>
        </references>
      </pivotArea>
    </chartFormat>
    <chartFormat chart="8" format="24">
      <pivotArea type="data" outline="0" fieldPosition="0">
        <references count="2">
          <reference field="4294967294" count="1" selected="0">
            <x v="0"/>
          </reference>
          <reference field="9" count="1" selected="0">
            <x v="7"/>
          </reference>
        </references>
      </pivotArea>
    </chartFormat>
    <chartFormat chart="8" format="25">
      <pivotArea type="data" outline="0" fieldPosition="0">
        <references count="2">
          <reference field="4294967294" count="1" selected="0">
            <x v="0"/>
          </reference>
          <reference field="9" count="1" selected="0">
            <x v="3"/>
          </reference>
        </references>
      </pivotArea>
    </chartFormat>
    <chartFormat chart="8" format="26">
      <pivotArea type="data" outline="0" fieldPosition="0">
        <references count="2">
          <reference field="4294967294" count="1" selected="0">
            <x v="0"/>
          </reference>
          <reference field="9" count="1" selected="0">
            <x v="4"/>
          </reference>
        </references>
      </pivotArea>
    </chartFormat>
    <chartFormat chart="8" format="27">
      <pivotArea type="data" outline="0" fieldPosition="0">
        <references count="2">
          <reference field="4294967294" count="1" selected="0">
            <x v="0"/>
          </reference>
          <reference field="9" count="1" selected="0">
            <x v="2"/>
          </reference>
        </references>
      </pivotArea>
    </chartFormat>
    <chartFormat chart="8" format="28">
      <pivotArea type="data" outline="0" fieldPosition="0">
        <references count="2">
          <reference field="4294967294" count="1" selected="0">
            <x v="0"/>
          </reference>
          <reference field="9" count="1" selected="0">
            <x v="0"/>
          </reference>
        </references>
      </pivotArea>
    </chartFormat>
    <chartFormat chart="8" format="29">
      <pivotArea type="data" outline="0" fieldPosition="0">
        <references count="2">
          <reference field="4294967294" count="1" selected="0">
            <x v="0"/>
          </reference>
          <reference field="9" count="1" selected="0">
            <x v="5"/>
          </reference>
        </references>
      </pivotArea>
    </chartFormat>
    <chartFormat chart="11" format="39" series="1">
      <pivotArea type="data" outline="0" fieldPosition="0">
        <references count="1">
          <reference field="4294967294" count="1" selected="0">
            <x v="0"/>
          </reference>
        </references>
      </pivotArea>
    </chartFormat>
    <chartFormat chart="11" format="40">
      <pivotArea type="data" outline="0" fieldPosition="0">
        <references count="2">
          <reference field="4294967294" count="1" selected="0">
            <x v="0"/>
          </reference>
          <reference field="9" count="1" selected="0">
            <x v="1"/>
          </reference>
        </references>
      </pivotArea>
    </chartFormat>
    <chartFormat chart="11" format="41">
      <pivotArea type="data" outline="0" fieldPosition="0">
        <references count="2">
          <reference field="4294967294" count="1" selected="0">
            <x v="0"/>
          </reference>
          <reference field="9" count="1" selected="0">
            <x v="6"/>
          </reference>
        </references>
      </pivotArea>
    </chartFormat>
    <chartFormat chart="11" format="42">
      <pivotArea type="data" outline="0" fieldPosition="0">
        <references count="2">
          <reference field="4294967294" count="1" selected="0">
            <x v="0"/>
          </reference>
          <reference field="9" count="1" selected="0">
            <x v="7"/>
          </reference>
        </references>
      </pivotArea>
    </chartFormat>
    <chartFormat chart="11" format="43">
      <pivotArea type="data" outline="0" fieldPosition="0">
        <references count="2">
          <reference field="4294967294" count="1" selected="0">
            <x v="0"/>
          </reference>
          <reference field="9" count="1" selected="0">
            <x v="3"/>
          </reference>
        </references>
      </pivotArea>
    </chartFormat>
    <chartFormat chart="11" format="44">
      <pivotArea type="data" outline="0" fieldPosition="0">
        <references count="2">
          <reference field="4294967294" count="1" selected="0">
            <x v="0"/>
          </reference>
          <reference field="9" count="1" selected="0">
            <x v="4"/>
          </reference>
        </references>
      </pivotArea>
    </chartFormat>
    <chartFormat chart="11" format="45">
      <pivotArea type="data" outline="0" fieldPosition="0">
        <references count="2">
          <reference field="4294967294" count="1" selected="0">
            <x v="0"/>
          </reference>
          <reference field="9" count="1" selected="0">
            <x v="2"/>
          </reference>
        </references>
      </pivotArea>
    </chartFormat>
    <chartFormat chart="11" format="46">
      <pivotArea type="data" outline="0" fieldPosition="0">
        <references count="2">
          <reference field="4294967294" count="1" selected="0">
            <x v="0"/>
          </reference>
          <reference field="9" count="1" selected="0">
            <x v="0"/>
          </reference>
        </references>
      </pivotArea>
    </chartFormat>
    <chartFormat chart="11" format="47">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location ref="A3:B8"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0"/>
  </rowFields>
  <rowItems count="5">
    <i>
      <x v="1"/>
    </i>
    <i>
      <x/>
    </i>
    <i>
      <x v="2"/>
    </i>
    <i>
      <x v="3"/>
    </i>
    <i t="grand">
      <x/>
    </i>
  </rowItems>
  <colItems count="1">
    <i/>
  </colItems>
  <dataFields count="1">
    <dataField name="Sum of Revenue" fld="24" showDataAs="percentOfTotal" baseField="0" baseItem="0" numFmtId="10"/>
  </dataFields>
  <chartFormats count="12">
    <chartFormat chart="3"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9" format="30" series="1">
      <pivotArea type="data" outline="0" fieldPosition="0">
        <references count="1">
          <reference field="4294967294" count="1" selected="0">
            <x v="0"/>
          </reference>
        </references>
      </pivotArea>
    </chartFormat>
    <chartFormat chart="9" format="39">
      <pivotArea type="data" outline="0" fieldPosition="0">
        <references count="2">
          <reference field="4294967294" count="1" selected="0">
            <x v="0"/>
          </reference>
          <reference field="10" count="1" selected="0">
            <x v="1"/>
          </reference>
        </references>
      </pivotArea>
    </chartFormat>
    <chartFormat chart="9" format="40">
      <pivotArea type="data" outline="0" fieldPosition="0">
        <references count="2">
          <reference field="4294967294" count="1" selected="0">
            <x v="0"/>
          </reference>
          <reference field="10" count="1" selected="0">
            <x v="0"/>
          </reference>
        </references>
      </pivotArea>
    </chartFormat>
    <chartFormat chart="9" format="41">
      <pivotArea type="data" outline="0" fieldPosition="0">
        <references count="2">
          <reference field="4294967294" count="1" selected="0">
            <x v="0"/>
          </reference>
          <reference field="10" count="1" selected="0">
            <x v="2"/>
          </reference>
        </references>
      </pivotArea>
    </chartFormat>
    <chartFormat chart="9" format="42">
      <pivotArea type="data" outline="0" fieldPosition="0">
        <references count="2">
          <reference field="4294967294" count="1" selected="0">
            <x v="0"/>
          </reference>
          <reference field="10" count="1" selected="0">
            <x v="3"/>
          </reference>
        </references>
      </pivotArea>
    </chartFormat>
    <chartFormat chart="16" format="48" series="1">
      <pivotArea type="data" outline="0" fieldPosition="0">
        <references count="1">
          <reference field="4294967294" count="1" selected="0">
            <x v="0"/>
          </reference>
        </references>
      </pivotArea>
    </chartFormat>
    <chartFormat chart="16" format="49">
      <pivotArea type="data" outline="0" fieldPosition="0">
        <references count="2">
          <reference field="4294967294" count="1" selected="0">
            <x v="0"/>
          </reference>
          <reference field="10" count="1" selected="0">
            <x v="1"/>
          </reference>
        </references>
      </pivotArea>
    </chartFormat>
    <chartFormat chart="16" format="50">
      <pivotArea type="data" outline="0" fieldPosition="0">
        <references count="2">
          <reference field="4294967294" count="1" selected="0">
            <x v="0"/>
          </reference>
          <reference field="10" count="1" selected="0">
            <x v="0"/>
          </reference>
        </references>
      </pivotArea>
    </chartFormat>
    <chartFormat chart="16" format="51">
      <pivotArea type="data" outline="0" fieldPosition="0">
        <references count="2">
          <reference field="4294967294" count="1" selected="0">
            <x v="0"/>
          </reference>
          <reference field="10" count="1" selected="0">
            <x v="2"/>
          </reference>
        </references>
      </pivotArea>
    </chartFormat>
    <chartFormat chart="16" format="5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6">
  <location ref="A3:B9"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4"/>
        <item x="11"/>
        <item x="5"/>
        <item x="9"/>
        <item x="13"/>
        <item x="6"/>
        <item x="14"/>
        <item x="12"/>
        <item x="1"/>
        <item x="10"/>
        <item x="7"/>
        <item x="8"/>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21"/>
  </rowFields>
  <rowItems count="6">
    <i>
      <x v="13"/>
    </i>
    <i>
      <x v="2"/>
    </i>
    <i>
      <x v="5"/>
    </i>
    <i>
      <x v="9"/>
    </i>
    <i>
      <x v="8"/>
    </i>
    <i t="grand">
      <x/>
    </i>
  </rowItems>
  <colItems count="1">
    <i/>
  </colItems>
  <dataFields count="1">
    <dataField name="Sum of Revenue" fld="24" baseField="0" baseItem="0" numFmtId="165"/>
  </dataFields>
  <chartFormats count="14">
    <chartFormat chart="3"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9" format="30" series="1">
      <pivotArea type="data" outline="0" fieldPosition="0">
        <references count="1">
          <reference field="4294967294" count="1" selected="0">
            <x v="0"/>
          </reference>
        </references>
      </pivotArea>
    </chartFormat>
    <chartFormat chart="10" format="39" series="1">
      <pivotArea type="data" outline="0" fieldPosition="0">
        <references count="1">
          <reference field="4294967294" count="1" selected="0">
            <x v="0"/>
          </reference>
        </references>
      </pivotArea>
    </chartFormat>
    <chartFormat chart="10" format="40">
      <pivotArea type="data" outline="0" fieldPosition="0">
        <references count="2">
          <reference field="4294967294" count="1" selected="0">
            <x v="0"/>
          </reference>
          <reference field="21" count="1" selected="0">
            <x v="13"/>
          </reference>
        </references>
      </pivotArea>
    </chartFormat>
    <chartFormat chart="10" format="41">
      <pivotArea type="data" outline="0" fieldPosition="0">
        <references count="2">
          <reference field="4294967294" count="1" selected="0">
            <x v="0"/>
          </reference>
          <reference field="21" count="1" selected="0">
            <x v="2"/>
          </reference>
        </references>
      </pivotArea>
    </chartFormat>
    <chartFormat chart="10" format="42">
      <pivotArea type="data" outline="0" fieldPosition="0">
        <references count="2">
          <reference field="4294967294" count="1" selected="0">
            <x v="0"/>
          </reference>
          <reference field="21" count="1" selected="0">
            <x v="5"/>
          </reference>
        </references>
      </pivotArea>
    </chartFormat>
    <chartFormat chart="10" format="43">
      <pivotArea type="data" outline="0" fieldPosition="0">
        <references count="2">
          <reference field="4294967294" count="1" selected="0">
            <x v="0"/>
          </reference>
          <reference field="21" count="1" selected="0">
            <x v="9"/>
          </reference>
        </references>
      </pivotArea>
    </chartFormat>
    <chartFormat chart="10" format="44">
      <pivotArea type="data" outline="0" fieldPosition="0">
        <references count="2">
          <reference field="4294967294" count="1" selected="0">
            <x v="0"/>
          </reference>
          <reference field="21" count="1" selected="0">
            <x v="8"/>
          </reference>
        </references>
      </pivotArea>
    </chartFormat>
    <chartFormat chart="15" format="50" series="1">
      <pivotArea type="data" outline="0" fieldPosition="0">
        <references count="1">
          <reference field="4294967294" count="1" selected="0">
            <x v="0"/>
          </reference>
        </references>
      </pivotArea>
    </chartFormat>
    <chartFormat chart="15" format="51">
      <pivotArea type="data" outline="0" fieldPosition="0">
        <references count="2">
          <reference field="4294967294" count="1" selected="0">
            <x v="0"/>
          </reference>
          <reference field="21" count="1" selected="0">
            <x v="13"/>
          </reference>
        </references>
      </pivotArea>
    </chartFormat>
    <chartFormat chart="15" format="52">
      <pivotArea type="data" outline="0" fieldPosition="0">
        <references count="2">
          <reference field="4294967294" count="1" selected="0">
            <x v="0"/>
          </reference>
          <reference field="21" count="1" selected="0">
            <x v="5"/>
          </reference>
        </references>
      </pivotArea>
    </chartFormat>
    <chartFormat chart="15" format="53">
      <pivotArea type="data" outline="0" fieldPosition="0">
        <references count="2">
          <reference field="4294967294" count="1" selected="0">
            <x v="0"/>
          </reference>
          <reference field="21" count="1" selected="0">
            <x v="9"/>
          </reference>
        </references>
      </pivotArea>
    </chartFormat>
    <chartFormat chart="15" format="54">
      <pivotArea type="data" outline="0" fieldPosition="0">
        <references count="2">
          <reference field="4294967294" count="1" selected="0">
            <x v="0"/>
          </reference>
          <reference field="21" count="1" selected="0">
            <x v="8"/>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6">
  <location ref="A3:B10"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2">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4"/>
        <item x="11"/>
        <item x="5"/>
        <item x="9"/>
        <item x="13"/>
        <item x="6"/>
        <item x="14"/>
        <item x="12"/>
        <item x="1"/>
        <item x="10"/>
        <item x="7"/>
        <item x="8"/>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15"/>
  </rowFields>
  <rowItems count="7">
    <i>
      <x v="8"/>
    </i>
    <i>
      <x v="9"/>
    </i>
    <i>
      <x v="6"/>
    </i>
    <i>
      <x v="5"/>
    </i>
    <i>
      <x v="1"/>
    </i>
    <i>
      <x v="7"/>
    </i>
    <i t="grand">
      <x/>
    </i>
  </rowItems>
  <colItems count="1">
    <i/>
  </colItems>
  <dataFields count="1">
    <dataField name="Sum of Revenue" fld="24" baseField="0" baseItem="0" numFmtId="165"/>
  </dataFields>
  <chartFormats count="4">
    <chartFormat chart="3"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9" format="30" series="1">
      <pivotArea type="data" outline="0" fieldPosition="0">
        <references count="1">
          <reference field="4294967294" count="1" selected="0">
            <x v="0"/>
          </reference>
        </references>
      </pivotArea>
    </chartFormat>
    <chartFormat chart="10" format="3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1" type="count" evalOrder="-1" id="2" iMeasureFld="0">
      <autoFilter ref="A1">
        <filterColumn colId="0">
          <top10 val="5" filterVal="5"/>
        </filterColumn>
      </autoFilter>
    </filter>
    <filter fld="15" type="count" evalOrder="-1" id="3" iMeasureFld="0">
      <autoFilter ref="A1">
        <filterColumn colId="0">
          <top10 val="6" filterVal="6"/>
        </filterColumn>
      </autoFilter>
    </filter>
    <filter fld="5" type="count" evalOrder="-1" id="5"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4">
  <location ref="A3:B9"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axis="axisRow"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2">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4"/>
        <item x="11"/>
        <item x="5"/>
        <item x="9"/>
        <item x="13"/>
        <item x="6"/>
        <item x="14"/>
        <item x="12"/>
        <item x="1"/>
        <item x="10"/>
        <item x="7"/>
        <item x="8"/>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5"/>
  </rowFields>
  <rowItems count="6">
    <i>
      <x v="1"/>
    </i>
    <i>
      <x v="5"/>
    </i>
    <i>
      <x v="6"/>
    </i>
    <i>
      <x v="9"/>
    </i>
    <i>
      <x v="8"/>
    </i>
    <i t="grand">
      <x/>
    </i>
  </rowItems>
  <colItems count="1">
    <i/>
  </colItems>
  <dataFields count="1">
    <dataField name="Sum of Revenue" fld="24" baseField="0" baseItem="0" numFmtId="165"/>
  </dataFields>
  <chartFormats count="23">
    <chartFormat chart="3"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9" format="30" series="1">
      <pivotArea type="data" outline="0" fieldPosition="0">
        <references count="1">
          <reference field="4294967294" count="1" selected="0">
            <x v="0"/>
          </reference>
        </references>
      </pivotArea>
    </chartFormat>
    <chartFormat chart="10" format="39" series="1">
      <pivotArea type="data" outline="0" fieldPosition="0">
        <references count="1">
          <reference field="4294967294" count="1" selected="0">
            <x v="0"/>
          </reference>
        </references>
      </pivotArea>
    </chartFormat>
    <chartFormat chart="14" format="45" series="1">
      <pivotArea type="data" outline="0" fieldPosition="0">
        <references count="1">
          <reference field="4294967294" count="1" selected="0">
            <x v="0"/>
          </reference>
        </references>
      </pivotArea>
    </chartFormat>
    <chartFormat chart="15" format="50" series="1">
      <pivotArea type="data" outline="0" fieldPosition="0">
        <references count="1">
          <reference field="4294967294" count="1" selected="0">
            <x v="0"/>
          </reference>
        </references>
      </pivotArea>
    </chartFormat>
    <chartFormat chart="15" format="51">
      <pivotArea type="data" outline="0" fieldPosition="0">
        <references count="2">
          <reference field="4294967294" count="1" selected="0">
            <x v="0"/>
          </reference>
          <reference field="5" count="1" selected="0">
            <x v="8"/>
          </reference>
        </references>
      </pivotArea>
    </chartFormat>
    <chartFormat chart="15" format="52">
      <pivotArea type="data" outline="0" fieldPosition="0">
        <references count="2">
          <reference field="4294967294" count="1" selected="0">
            <x v="0"/>
          </reference>
          <reference field="5" count="1" selected="0">
            <x v="9"/>
          </reference>
        </references>
      </pivotArea>
    </chartFormat>
    <chartFormat chart="15" format="53">
      <pivotArea type="data" outline="0" fieldPosition="0">
        <references count="2">
          <reference field="4294967294" count="1" selected="0">
            <x v="0"/>
          </reference>
          <reference field="5" count="1" selected="0">
            <x v="6"/>
          </reference>
        </references>
      </pivotArea>
    </chartFormat>
    <chartFormat chart="15" format="54">
      <pivotArea type="data" outline="0" fieldPosition="0">
        <references count="2">
          <reference field="4294967294" count="1" selected="0">
            <x v="0"/>
          </reference>
          <reference field="5" count="1" selected="0">
            <x v="5"/>
          </reference>
        </references>
      </pivotArea>
    </chartFormat>
    <chartFormat chart="15" format="55">
      <pivotArea type="data" outline="0" fieldPosition="0">
        <references count="2">
          <reference field="4294967294" count="1" selected="0">
            <x v="0"/>
          </reference>
          <reference field="5" count="1" selected="0">
            <x v="1"/>
          </reference>
        </references>
      </pivotArea>
    </chartFormat>
    <chartFormat chart="19" format="56" series="1">
      <pivotArea type="data" outline="0" fieldPosition="0">
        <references count="1">
          <reference field="4294967294" count="1" selected="0">
            <x v="0"/>
          </reference>
        </references>
      </pivotArea>
    </chartFormat>
    <chartFormat chart="19" format="57">
      <pivotArea type="data" outline="0" fieldPosition="0">
        <references count="2">
          <reference field="4294967294" count="1" selected="0">
            <x v="0"/>
          </reference>
          <reference field="5" count="1" selected="0">
            <x v="8"/>
          </reference>
        </references>
      </pivotArea>
    </chartFormat>
    <chartFormat chart="19" format="58">
      <pivotArea type="data" outline="0" fieldPosition="0">
        <references count="2">
          <reference field="4294967294" count="1" selected="0">
            <x v="0"/>
          </reference>
          <reference field="5" count="1" selected="0">
            <x v="9"/>
          </reference>
        </references>
      </pivotArea>
    </chartFormat>
    <chartFormat chart="19" format="59">
      <pivotArea type="data" outline="0" fieldPosition="0">
        <references count="2">
          <reference field="4294967294" count="1" selected="0">
            <x v="0"/>
          </reference>
          <reference field="5" count="1" selected="0">
            <x v="6"/>
          </reference>
        </references>
      </pivotArea>
    </chartFormat>
    <chartFormat chart="19" format="60">
      <pivotArea type="data" outline="0" fieldPosition="0">
        <references count="2">
          <reference field="4294967294" count="1" selected="0">
            <x v="0"/>
          </reference>
          <reference field="5" count="1" selected="0">
            <x v="5"/>
          </reference>
        </references>
      </pivotArea>
    </chartFormat>
    <chartFormat chart="19" format="61">
      <pivotArea type="data" outline="0" fieldPosition="0">
        <references count="2">
          <reference field="4294967294" count="1" selected="0">
            <x v="0"/>
          </reference>
          <reference field="5" count="1" selected="0">
            <x v="1"/>
          </reference>
        </references>
      </pivotArea>
    </chartFormat>
    <chartFormat chart="23" format="56" series="1">
      <pivotArea type="data" outline="0" fieldPosition="0">
        <references count="1">
          <reference field="4294967294" count="1" selected="0">
            <x v="0"/>
          </reference>
        </references>
      </pivotArea>
    </chartFormat>
    <chartFormat chart="23" format="57">
      <pivotArea type="data" outline="0" fieldPosition="0">
        <references count="2">
          <reference field="4294967294" count="1" selected="0">
            <x v="0"/>
          </reference>
          <reference field="5" count="1" selected="0">
            <x v="1"/>
          </reference>
        </references>
      </pivotArea>
    </chartFormat>
    <chartFormat chart="23" format="58">
      <pivotArea type="data" outline="0" fieldPosition="0">
        <references count="2">
          <reference field="4294967294" count="1" selected="0">
            <x v="0"/>
          </reference>
          <reference field="5" count="1" selected="0">
            <x v="5"/>
          </reference>
        </references>
      </pivotArea>
    </chartFormat>
    <chartFormat chart="23" format="59">
      <pivotArea type="data" outline="0" fieldPosition="0">
        <references count="2">
          <reference field="4294967294" count="1" selected="0">
            <x v="0"/>
          </reference>
          <reference field="5" count="1" selected="0">
            <x v="6"/>
          </reference>
        </references>
      </pivotArea>
    </chartFormat>
    <chartFormat chart="23" format="60">
      <pivotArea type="data" outline="0" fieldPosition="0">
        <references count="2">
          <reference field="4294967294" count="1" selected="0">
            <x v="0"/>
          </reference>
          <reference field="5" count="1" selected="0">
            <x v="9"/>
          </reference>
        </references>
      </pivotArea>
    </chartFormat>
    <chartFormat chart="23" format="61">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filters count="3">
    <filter fld="21" type="count" evalOrder="-1" id="2" iMeasureFld="0">
      <autoFilter ref="A1">
        <filterColumn colId="0">
          <top10 val="5" filterVal="5"/>
        </filterColumn>
      </autoFilter>
    </filter>
    <filter fld="15" type="count" evalOrder="-1" id="3" iMeasureFld="0">
      <autoFilter ref="A1">
        <filterColumn colId="0">
          <top10 val="6" filterVal="6"/>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99C644-4382-4E60-81CF-9A78E652E089}"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8">
  <location ref="A3:B16"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2">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4"/>
        <item x="11"/>
        <item x="5"/>
        <item x="9"/>
        <item x="13"/>
        <item x="6"/>
        <item x="14"/>
        <item x="12"/>
        <item x="1"/>
        <item x="10"/>
        <item x="7"/>
        <item x="8"/>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5"/>
  </dataFields>
  <chartFormats count="6">
    <chartFormat chart="3"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9" format="30" series="1">
      <pivotArea type="data" outline="0" fieldPosition="0">
        <references count="1">
          <reference field="4294967294" count="1" selected="0">
            <x v="0"/>
          </reference>
        </references>
      </pivotArea>
    </chartFormat>
    <chartFormat chart="10" format="39" series="1">
      <pivotArea type="data" outline="0" fieldPosition="0">
        <references count="1">
          <reference field="4294967294" count="1" selected="0">
            <x v="0"/>
          </reference>
        </references>
      </pivotArea>
    </chartFormat>
    <chartFormat chart="14" format="45" series="1">
      <pivotArea type="data" outline="0" fieldPosition="0">
        <references count="1">
          <reference field="4294967294" count="1" selected="0">
            <x v="0"/>
          </reference>
        </references>
      </pivotArea>
    </chartFormat>
    <chartFormat chart="15" format="5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1" type="count" evalOrder="-1" id="2" iMeasureFld="0">
      <autoFilter ref="A1">
        <filterColumn colId="0">
          <top10 val="5" filterVal="5"/>
        </filterColumn>
      </autoFilter>
    </filter>
    <filter fld="15" type="count" evalOrder="-1" id="3" iMeasureFld="0">
      <autoFilter ref="A1">
        <filterColumn colId="0">
          <top10 val="6" filterVal="6"/>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B873E3-9092-48D7-B7E9-2B55DCB08695}"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location ref="A3:B11"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2">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4"/>
        <item x="11"/>
        <item x="5"/>
        <item x="9"/>
        <item x="13"/>
        <item x="6"/>
        <item x="14"/>
        <item x="12"/>
        <item x="1"/>
        <item x="10"/>
        <item x="7"/>
        <item x="8"/>
        <item x="3"/>
        <item x="0"/>
        <item x="2"/>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1">
        <item x="0"/>
        <item x="1"/>
        <item x="2"/>
        <item x="3"/>
        <item x="4"/>
        <item x="5"/>
        <item x="6"/>
        <item x="7"/>
        <item x="8"/>
        <item x="9"/>
        <item t="default"/>
      </items>
    </pivotField>
    <pivotField numFmtId="165" showAll="0"/>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12">
    <chartFormat chart="3"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9" format="30" series="1">
      <pivotArea type="data" outline="0" fieldPosition="0">
        <references count="1">
          <reference field="4294967294" count="1" selected="0">
            <x v="0"/>
          </reference>
        </references>
      </pivotArea>
    </chartFormat>
    <chartFormat chart="10" format="39"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4" count="1" selected="0">
            <x v="1"/>
          </reference>
        </references>
      </pivotArea>
    </chartFormat>
    <chartFormat chart="16" format="2">
      <pivotArea type="data" outline="0" fieldPosition="0">
        <references count="2">
          <reference field="4294967294" count="1" selected="0">
            <x v="0"/>
          </reference>
          <reference field="24" count="1" selected="0">
            <x v="2"/>
          </reference>
        </references>
      </pivotArea>
    </chartFormat>
    <chartFormat chart="16" format="3">
      <pivotArea type="data" outline="0" fieldPosition="0">
        <references count="2">
          <reference field="4294967294" count="1" selected="0">
            <x v="0"/>
          </reference>
          <reference field="24" count="1" selected="0">
            <x v="3"/>
          </reference>
        </references>
      </pivotArea>
    </chartFormat>
    <chartFormat chart="16" format="4">
      <pivotArea type="data" outline="0" fieldPosition="0">
        <references count="2">
          <reference field="4294967294" count="1" selected="0">
            <x v="0"/>
          </reference>
          <reference field="24" count="1" selected="0">
            <x v="4"/>
          </reference>
        </references>
      </pivotArea>
    </chartFormat>
    <chartFormat chart="16" format="5">
      <pivotArea type="data" outline="0" fieldPosition="0">
        <references count="2">
          <reference field="4294967294" count="1" selected="0">
            <x v="0"/>
          </reference>
          <reference field="24" count="1" selected="0">
            <x v="5"/>
          </reference>
        </references>
      </pivotArea>
    </chartFormat>
    <chartFormat chart="16" format="6">
      <pivotArea type="data" outline="0" fieldPosition="0">
        <references count="2">
          <reference field="4294967294" count="1" selected="0">
            <x v="0"/>
          </reference>
          <reference field="24" count="1" selected="0">
            <x v="7"/>
          </reference>
        </references>
      </pivotArea>
    </chartFormat>
    <chartFormat chart="16" format="7">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3">
    <filter fld="21" type="count" evalOrder="-1" id="2" iMeasureFld="0">
      <autoFilter ref="A1">
        <filterColumn colId="0">
          <top10 val="5" filterVal="5"/>
        </filterColumn>
      </autoFilter>
    </filter>
    <filter fld="5" type="count" evalOrder="-1" id="5" iMeasureFld="0">
      <autoFilter ref="A1">
        <filterColumn colId="0">
          <top10 val="6" filterVal="6"/>
        </filterColumn>
      </autoFilter>
    </filter>
    <filter fld="15"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85783C6-170F-4BFE-B7ED-953097991D3A}" sourceName="Product Name">
  <pivotTables>
    <pivotTable tabId="25" name="PivotTable1"/>
    <pivotTable tabId="27" name="PivotTable1"/>
    <pivotTable tabId="24" name="PivotTable1"/>
    <pivotTable tabId="23" name="PivotTable1"/>
    <pivotTable tabId="19" name="PivotTable1"/>
    <pivotTable tabId="26" name="PivotTable1"/>
    <pivotTable tabId="29" name="PivotTable1"/>
    <pivotTable tabId="21" name="PivotTable1"/>
    <pivotTable tabId="30" name="PivotTable1"/>
  </pivotTables>
  <data>
    <tabular pivotCacheId="94078637">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96DD0B6-F93D-47DD-BB8E-4C76530DF6EF}" sourceName="Salesperson">
  <pivotTables>
    <pivotTable tabId="23" name="PivotTable1"/>
    <pivotTable tabId="27" name="PivotTable1"/>
    <pivotTable tabId="25" name="PivotTable1"/>
    <pivotTable tabId="24" name="PivotTable1"/>
    <pivotTable tabId="19" name="PivotTable1"/>
    <pivotTable tabId="26" name="PivotTable1"/>
    <pivotTable tabId="29" name="PivotTable1"/>
    <pivotTable tabId="21" name="PivotTable1"/>
    <pivotTable tabId="30" name="PivotTable1"/>
  </pivotTables>
  <data>
    <tabular pivotCacheId="94078637">
      <items count="8">
        <i x="1" s="1"/>
        <i x="5" s="1"/>
        <i x="3" s="1"/>
        <i x="6" s="1"/>
        <i x="0" s="1"/>
        <i x="4"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17A5E0C-DD65-474F-BD6C-CCB808513BB1}" cache="Slicer_Product_Name" caption="Product Name" columnCount="3" showCaption="0" style="Slicer Style 1 2 2" rowHeight="640080"/>
  <slicer name="Salesperson" xr10:uid="{A41230C8-9F8B-4442-8438-0BEADACFC50A}" cache="Slicer_Salesperson" caption="Salesperson" startItem="3" columnCount="3" showCaption="0" style="SlicerStyleOther1 2" rowHeight="6400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2"/>
  <sheetViews>
    <sheetView topLeftCell="A3" workbookViewId="0">
      <selection activeCell="D8" sqref="D8"/>
    </sheetView>
  </sheetViews>
  <sheetFormatPr defaultRowHeight="15" x14ac:dyDescent="0.25"/>
  <cols>
    <col min="1" max="1" width="66.42578125" customWidth="1"/>
    <col min="3" max="3" width="9.140625" customWidth="1"/>
  </cols>
  <sheetData>
    <row r="2" spans="1:1" ht="21" x14ac:dyDescent="0.35">
      <c r="A2" s="5" t="s">
        <v>157</v>
      </c>
    </row>
    <row r="3" spans="1:1" ht="68.25" customHeight="1" x14ac:dyDescent="0.25">
      <c r="A3" s="7" t="s">
        <v>158</v>
      </c>
    </row>
    <row r="4" spans="1:1" ht="21" x14ac:dyDescent="0.35">
      <c r="A4" s="6" t="s">
        <v>152</v>
      </c>
    </row>
    <row r="5" spans="1:1" ht="21" x14ac:dyDescent="0.35">
      <c r="A5" s="6" t="s">
        <v>153</v>
      </c>
    </row>
    <row r="6" spans="1:1" ht="21" x14ac:dyDescent="0.35">
      <c r="A6" s="6" t="s">
        <v>154</v>
      </c>
    </row>
    <row r="7" spans="1:1" ht="21" x14ac:dyDescent="0.35">
      <c r="A7" s="6" t="s">
        <v>155</v>
      </c>
    </row>
    <row r="8" spans="1:1" ht="21" x14ac:dyDescent="0.35">
      <c r="A8" s="6" t="s">
        <v>156</v>
      </c>
    </row>
    <row r="9" spans="1:1" ht="21" x14ac:dyDescent="0.35">
      <c r="A9" s="6" t="s">
        <v>160</v>
      </c>
    </row>
    <row r="10" spans="1:1" ht="21" x14ac:dyDescent="0.35">
      <c r="A10" s="6" t="s">
        <v>161</v>
      </c>
    </row>
    <row r="11" spans="1:1" ht="21" x14ac:dyDescent="0.35">
      <c r="A11" s="6" t="s">
        <v>162</v>
      </c>
    </row>
    <row r="12" spans="1:1" ht="21" x14ac:dyDescent="0.35">
      <c r="A12" s="13" t="s">
        <v>180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25"/>
  <sheetViews>
    <sheetView showGridLines="0" topLeftCell="U15" workbookViewId="0">
      <selection activeCell="AJ23" sqref="AJ23"/>
    </sheetView>
  </sheetViews>
  <sheetFormatPr defaultRowHeight="15" x14ac:dyDescent="0.25"/>
  <sheetData>
    <row r="25" spans="21:21" x14ac:dyDescent="0.25">
      <c r="U25" t="s">
        <v>177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
  <sheetViews>
    <sheetView topLeftCell="C1" workbookViewId="0">
      <selection activeCell="N10" sqref="N10"/>
    </sheetView>
  </sheetViews>
  <sheetFormatPr defaultRowHeight="15" x14ac:dyDescent="0.25"/>
  <cols>
    <col min="1" max="1" width="13.140625" bestFit="1" customWidth="1"/>
    <col min="2" max="2" width="15.5703125" customWidth="1"/>
  </cols>
  <sheetData>
    <row r="3" spans="1:2" x14ac:dyDescent="0.25">
      <c r="A3" s="8" t="s">
        <v>163</v>
      </c>
      <c r="B3" t="s">
        <v>165</v>
      </c>
    </row>
    <row r="4" spans="1:2" x14ac:dyDescent="0.25">
      <c r="A4" s="9" t="s">
        <v>166</v>
      </c>
      <c r="B4" s="15">
        <v>32907.839999999997</v>
      </c>
    </row>
    <row r="5" spans="1:2" x14ac:dyDescent="0.25">
      <c r="A5" s="9" t="s">
        <v>167</v>
      </c>
      <c r="B5" s="15">
        <v>19985.5</v>
      </c>
    </row>
    <row r="6" spans="1:2" x14ac:dyDescent="0.25">
      <c r="A6" s="9" t="s">
        <v>168</v>
      </c>
      <c r="B6" s="15">
        <v>30852.6</v>
      </c>
    </row>
    <row r="7" spans="1:2" x14ac:dyDescent="0.25">
      <c r="A7" s="9" t="s">
        <v>169</v>
      </c>
      <c r="B7" s="15">
        <v>20771.789999999997</v>
      </c>
    </row>
    <row r="8" spans="1:2" x14ac:dyDescent="0.25">
      <c r="A8" s="9" t="s">
        <v>170</v>
      </c>
      <c r="B8" s="15">
        <v>34307.049999999996</v>
      </c>
    </row>
    <row r="9" spans="1:2" x14ac:dyDescent="0.25">
      <c r="A9" s="9" t="s">
        <v>171</v>
      </c>
      <c r="B9" s="15">
        <v>55601.61</v>
      </c>
    </row>
    <row r="10" spans="1:2" x14ac:dyDescent="0.25">
      <c r="A10" s="9" t="s">
        <v>172</v>
      </c>
      <c r="B10" s="15">
        <v>27318.539999999997</v>
      </c>
    </row>
    <row r="11" spans="1:2" x14ac:dyDescent="0.25">
      <c r="A11" s="9" t="s">
        <v>186</v>
      </c>
      <c r="B11" s="15">
        <v>29921.459999999995</v>
      </c>
    </row>
    <row r="12" spans="1:2" x14ac:dyDescent="0.25">
      <c r="A12" s="9" t="s">
        <v>173</v>
      </c>
      <c r="B12" s="15">
        <v>31949.97</v>
      </c>
    </row>
    <row r="13" spans="1:2" x14ac:dyDescent="0.25">
      <c r="A13" s="9" t="s">
        <v>174</v>
      </c>
      <c r="B13" s="15">
        <v>53033.59</v>
      </c>
    </row>
    <row r="14" spans="1:2" x14ac:dyDescent="0.25">
      <c r="A14" s="9" t="s">
        <v>175</v>
      </c>
      <c r="B14" s="15">
        <v>31773.429999999997</v>
      </c>
    </row>
    <row r="15" spans="1:2" x14ac:dyDescent="0.25">
      <c r="A15" s="9" t="s">
        <v>176</v>
      </c>
      <c r="B15" s="15">
        <v>66642.78</v>
      </c>
    </row>
    <row r="16" spans="1:2" x14ac:dyDescent="0.25">
      <c r="A16" s="9" t="s">
        <v>164</v>
      </c>
      <c r="B16" s="15">
        <v>435066.15999999992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opLeftCell="A21" workbookViewId="0">
      <selection activeCell="AT11" sqref="AT11"/>
    </sheetView>
  </sheetViews>
  <sheetFormatPr defaultRowHeight="15"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tint="0.249977111117893"/>
  </sheetPr>
  <dimension ref="A1:Z370"/>
  <sheetViews>
    <sheetView topLeftCell="C1" zoomScale="91" zoomScaleNormal="100" workbookViewId="0">
      <pane ySplit="1" topLeftCell="A2" activePane="bottomLeft" state="frozen"/>
      <selection pane="bottomLeft" activeCell="S14" sqref="S14"/>
    </sheetView>
  </sheetViews>
  <sheetFormatPr defaultRowHeight="15" x14ac:dyDescent="0.25"/>
  <cols>
    <col min="1" max="1" width="10.5703125" customWidth="1"/>
    <col min="2" max="2" width="10.7109375" bestFit="1" customWidth="1"/>
    <col min="3" max="3" width="14.140625" bestFit="1" customWidth="1"/>
    <col min="4" max="4" width="15.42578125" bestFit="1" customWidth="1"/>
    <col min="5" max="5" width="14.28515625" bestFit="1" customWidth="1"/>
    <col min="6" max="6" width="12.5703125" bestFit="1" customWidth="1"/>
    <col min="7" max="7" width="5.5703125" bestFit="1" customWidth="1"/>
    <col min="8" max="9" width="15.140625" bestFit="1" customWidth="1"/>
    <col min="10" max="10" width="19.7109375" bestFit="1" customWidth="1"/>
    <col min="11" max="11" width="7.140625" bestFit="1" customWidth="1"/>
    <col min="12" max="12" width="12.85546875" bestFit="1" customWidth="1"/>
    <col min="13" max="13" width="19.42578125" bestFit="1" customWidth="1"/>
    <col min="14" max="14" width="21.5703125" bestFit="1" customWidth="1"/>
    <col min="15" max="15" width="14.28515625" bestFit="1" customWidth="1"/>
    <col min="16" max="16" width="12.5703125" bestFit="1" customWidth="1"/>
    <col min="17" max="17" width="9.85546875" bestFit="1" customWidth="1"/>
    <col min="18" max="19" width="19.5703125" bestFit="1" customWidth="1"/>
    <col min="20" max="20" width="13.7109375" bestFit="1" customWidth="1"/>
    <col min="21" max="21" width="21" bestFit="1" customWidth="1"/>
    <col min="22" max="22" width="25" bestFit="1" customWidth="1"/>
    <col min="23" max="23" width="9.7109375" bestFit="1" customWidth="1"/>
    <col min="24" max="24" width="8.7109375" bestFit="1" customWidth="1"/>
    <col min="25" max="25" width="19.5703125" customWidth="1"/>
    <col min="26" max="26" width="12.4257812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2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2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2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2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2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2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2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2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2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2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2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2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2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2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2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2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2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2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2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2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2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2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2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2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2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2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2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2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2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2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2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2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159</v>
      </c>
      <c r="Y34" s="4">
        <v>10</v>
      </c>
      <c r="Z34" s="3">
        <v>43</v>
      </c>
    </row>
    <row r="35" spans="1:26" x14ac:dyDescent="0.2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159</v>
      </c>
      <c r="Y35" s="4">
        <v>10</v>
      </c>
      <c r="Z35" s="3">
        <v>31</v>
      </c>
    </row>
    <row r="36" spans="1:26" x14ac:dyDescent="0.2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159</v>
      </c>
      <c r="Y36" s="4">
        <v>10</v>
      </c>
      <c r="Z36" s="3">
        <v>46</v>
      </c>
    </row>
    <row r="37" spans="1:26" x14ac:dyDescent="0.2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2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2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2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2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2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2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2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2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2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2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2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2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2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2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2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2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2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2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2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2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2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2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2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2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2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2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2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2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2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2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2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2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2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2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2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2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2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2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2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2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2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2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2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2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2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2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2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2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2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2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2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2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2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2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2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2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2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2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2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2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2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2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2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2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2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2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2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2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2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2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2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2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2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2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2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2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2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2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2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2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2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2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2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2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2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2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2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2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2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2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2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2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2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2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2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2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2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2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2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2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2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2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2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2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2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2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2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2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2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2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2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2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2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2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2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2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2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2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2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2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2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2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2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2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2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2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2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2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2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2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2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2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2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2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2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2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2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2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2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2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2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2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2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2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2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2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2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2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2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2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2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2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2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2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2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2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2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2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2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2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2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2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2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2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2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2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2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2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2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2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2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2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2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2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2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2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2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2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2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2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2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2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2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2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2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2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2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2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2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2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2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2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2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2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2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2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2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2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2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2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2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2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2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2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2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2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2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2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2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2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2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2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2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2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2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2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2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2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2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2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2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2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2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2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2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2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2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2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2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2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2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2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2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2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2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2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2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2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2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2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2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2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2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2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2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2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2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2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2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2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2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2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2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2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2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2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2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2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2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2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2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2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2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2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2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2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2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2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2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2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2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2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2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2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2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2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2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2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2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2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2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2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2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2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2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2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2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2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2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2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2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2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2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2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2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2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2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2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2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2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2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2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2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2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2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2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2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2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2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2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2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2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2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2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2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2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2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2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2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2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2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2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2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2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2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2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2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2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2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2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2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2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2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4"/>
  <sheetViews>
    <sheetView workbookViewId="0">
      <selection activeCell="A6" sqref="A6"/>
    </sheetView>
  </sheetViews>
  <sheetFormatPr defaultRowHeight="15" x14ac:dyDescent="0.25"/>
  <cols>
    <col min="1" max="1" width="13.140625" customWidth="1"/>
    <col min="2" max="2" width="15.5703125" customWidth="1"/>
  </cols>
  <sheetData>
    <row r="3" spans="1:2" x14ac:dyDescent="0.25">
      <c r="A3" s="8" t="s">
        <v>163</v>
      </c>
      <c r="B3" t="s">
        <v>165</v>
      </c>
    </row>
    <row r="4" spans="1:2" x14ac:dyDescent="0.25">
      <c r="A4" s="10" t="s">
        <v>40</v>
      </c>
      <c r="B4" s="3">
        <v>67180.5</v>
      </c>
    </row>
    <row r="5" spans="1:2" x14ac:dyDescent="0.25">
      <c r="A5" s="10" t="s">
        <v>56</v>
      </c>
      <c r="B5" s="3">
        <v>50208.35</v>
      </c>
    </row>
    <row r="6" spans="1:2" x14ac:dyDescent="0.25">
      <c r="A6" s="10" t="s">
        <v>90</v>
      </c>
      <c r="B6" s="3">
        <v>43713</v>
      </c>
    </row>
    <row r="7" spans="1:2" x14ac:dyDescent="0.25">
      <c r="A7" s="10" t="s">
        <v>82</v>
      </c>
      <c r="B7" s="3">
        <v>37428</v>
      </c>
    </row>
    <row r="8" spans="1:2" x14ac:dyDescent="0.25">
      <c r="A8" s="10" t="s">
        <v>118</v>
      </c>
      <c r="B8" s="3">
        <v>36839.990000000005</v>
      </c>
    </row>
    <row r="9" spans="1:2" x14ac:dyDescent="0.25">
      <c r="A9" s="10" t="s">
        <v>125</v>
      </c>
      <c r="B9" s="3">
        <v>32530.6</v>
      </c>
    </row>
    <row r="10" spans="1:2" x14ac:dyDescent="0.25">
      <c r="A10" s="10" t="s">
        <v>97</v>
      </c>
      <c r="B10" s="3">
        <v>29133.009999999995</v>
      </c>
    </row>
    <row r="11" spans="1:2" x14ac:dyDescent="0.25">
      <c r="A11" s="10" t="s">
        <v>140</v>
      </c>
      <c r="B11" s="3">
        <v>28208.250000000007</v>
      </c>
    </row>
    <row r="12" spans="1:2" x14ac:dyDescent="0.25">
      <c r="A12" s="10" t="s">
        <v>74</v>
      </c>
      <c r="B12" s="3">
        <v>27005.38</v>
      </c>
    </row>
    <row r="13" spans="1:2" x14ac:dyDescent="0.25">
      <c r="A13" s="10" t="s">
        <v>113</v>
      </c>
      <c r="B13" s="3">
        <v>21937.08</v>
      </c>
    </row>
    <row r="14" spans="1:2" x14ac:dyDescent="0.25">
      <c r="A14" s="10" t="s">
        <v>164</v>
      </c>
      <c r="B14" s="3">
        <v>374184.16000000003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2"/>
  <sheetViews>
    <sheetView workbookViewId="0">
      <selection activeCell="L17" sqref="L17"/>
    </sheetView>
  </sheetViews>
  <sheetFormatPr defaultRowHeight="15" x14ac:dyDescent="0.25"/>
  <cols>
    <col min="1" max="1" width="16.42578125" bestFit="1" customWidth="1"/>
    <col min="2" max="2" width="15.5703125" customWidth="1"/>
  </cols>
  <sheetData>
    <row r="3" spans="1:2" x14ac:dyDescent="0.25">
      <c r="A3" s="8" t="s">
        <v>163</v>
      </c>
      <c r="B3" t="s">
        <v>165</v>
      </c>
    </row>
    <row r="4" spans="1:2" x14ac:dyDescent="0.25">
      <c r="A4" s="10" t="s">
        <v>60</v>
      </c>
      <c r="B4" s="3">
        <v>104252.33999999997</v>
      </c>
    </row>
    <row r="5" spans="1:2" x14ac:dyDescent="0.25">
      <c r="A5" s="10" t="s">
        <v>94</v>
      </c>
      <c r="B5" s="3">
        <v>93858.329999999987</v>
      </c>
    </row>
    <row r="6" spans="1:2" x14ac:dyDescent="0.25">
      <c r="A6" s="10" t="s">
        <v>44</v>
      </c>
      <c r="B6" s="3">
        <v>67180.5</v>
      </c>
    </row>
    <row r="7" spans="1:2" x14ac:dyDescent="0.25">
      <c r="A7" s="10" t="s">
        <v>31</v>
      </c>
      <c r="B7" s="3">
        <v>42370.880000000005</v>
      </c>
    </row>
    <row r="8" spans="1:2" x14ac:dyDescent="0.25">
      <c r="A8" s="10" t="s">
        <v>101</v>
      </c>
      <c r="B8" s="3">
        <v>41095.01</v>
      </c>
    </row>
    <row r="9" spans="1:2" x14ac:dyDescent="0.25">
      <c r="A9" s="10" t="s">
        <v>86</v>
      </c>
      <c r="B9" s="3">
        <v>37428</v>
      </c>
    </row>
    <row r="10" spans="1:2" x14ac:dyDescent="0.25">
      <c r="A10" s="10" t="s">
        <v>129</v>
      </c>
      <c r="B10" s="3">
        <v>32530.6</v>
      </c>
    </row>
    <row r="11" spans="1:2" x14ac:dyDescent="0.25">
      <c r="A11" s="10" t="s">
        <v>70</v>
      </c>
      <c r="B11" s="3">
        <v>16350.5</v>
      </c>
    </row>
    <row r="12" spans="1:2" x14ac:dyDescent="0.25">
      <c r="A12" s="10" t="s">
        <v>164</v>
      </c>
      <c r="B12" s="3">
        <v>435066.15999999992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8"/>
  <sheetViews>
    <sheetView topLeftCell="F1" workbookViewId="0">
      <selection activeCell="F21" sqref="F21"/>
    </sheetView>
  </sheetViews>
  <sheetFormatPr defaultRowHeight="15" x14ac:dyDescent="0.25"/>
  <cols>
    <col min="1" max="1" width="13.140625" customWidth="1"/>
    <col min="2" max="2" width="15.5703125" customWidth="1"/>
  </cols>
  <sheetData>
    <row r="3" spans="1:2" x14ac:dyDescent="0.25">
      <c r="A3" s="8" t="s">
        <v>163</v>
      </c>
      <c r="B3" t="s">
        <v>165</v>
      </c>
    </row>
    <row r="4" spans="1:2" x14ac:dyDescent="0.25">
      <c r="A4" s="10" t="s">
        <v>61</v>
      </c>
      <c r="B4" s="11">
        <v>0.32565240192434181</v>
      </c>
    </row>
    <row r="5" spans="1:2" x14ac:dyDescent="0.25">
      <c r="A5" s="10" t="s">
        <v>45</v>
      </c>
      <c r="B5" s="11">
        <v>0.24887136705828836</v>
      </c>
    </row>
    <row r="6" spans="1:2" x14ac:dyDescent="0.25">
      <c r="A6" s="10" t="s">
        <v>95</v>
      </c>
      <c r="B6" s="11">
        <v>0.21573346453789927</v>
      </c>
    </row>
    <row r="7" spans="1:2" x14ac:dyDescent="0.25">
      <c r="A7" s="10" t="s">
        <v>32</v>
      </c>
      <c r="B7" s="11">
        <v>0.20974276647947063</v>
      </c>
    </row>
    <row r="8" spans="1:2" x14ac:dyDescent="0.25">
      <c r="A8" s="10" t="s">
        <v>164</v>
      </c>
      <c r="B8" s="11">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9"/>
  <sheetViews>
    <sheetView workbookViewId="0">
      <selection activeCell="AA29" sqref="AA29"/>
    </sheetView>
  </sheetViews>
  <sheetFormatPr defaultRowHeight="15" x14ac:dyDescent="0.25"/>
  <cols>
    <col min="1" max="1" width="17" bestFit="1" customWidth="1"/>
    <col min="2" max="2" width="15.5703125" customWidth="1"/>
  </cols>
  <sheetData>
    <row r="3" spans="1:2" x14ac:dyDescent="0.25">
      <c r="A3" s="8" t="s">
        <v>163</v>
      </c>
      <c r="B3" t="s">
        <v>165</v>
      </c>
    </row>
    <row r="4" spans="1:2" x14ac:dyDescent="0.25">
      <c r="A4" s="10" t="s">
        <v>37</v>
      </c>
      <c r="B4" s="3">
        <v>110577.10999999999</v>
      </c>
    </row>
    <row r="5" spans="1:2" x14ac:dyDescent="0.25">
      <c r="A5" s="10" t="s">
        <v>89</v>
      </c>
      <c r="B5" s="3">
        <v>69000</v>
      </c>
    </row>
    <row r="6" spans="1:2" x14ac:dyDescent="0.25">
      <c r="A6" s="10" t="s">
        <v>110</v>
      </c>
      <c r="B6" s="3">
        <v>51541</v>
      </c>
    </row>
    <row r="7" spans="1:2" x14ac:dyDescent="0.25">
      <c r="A7" s="10" t="s">
        <v>134</v>
      </c>
      <c r="B7" s="3">
        <v>33129.600000000006</v>
      </c>
    </row>
    <row r="8" spans="1:2" x14ac:dyDescent="0.25">
      <c r="A8" s="10" t="s">
        <v>39</v>
      </c>
      <c r="B8" s="3">
        <v>27999.5</v>
      </c>
    </row>
    <row r="9" spans="1:2" x14ac:dyDescent="0.25">
      <c r="A9" s="10" t="s">
        <v>164</v>
      </c>
      <c r="B9" s="3">
        <v>292247.20999999996</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E10"/>
  <sheetViews>
    <sheetView topLeftCell="F1" workbookViewId="0">
      <selection activeCell="H23" sqref="H23"/>
    </sheetView>
  </sheetViews>
  <sheetFormatPr defaultRowHeight="15" x14ac:dyDescent="0.25"/>
  <cols>
    <col min="1" max="1" width="13.140625" customWidth="1"/>
    <col min="2" max="2" width="15.5703125" customWidth="1"/>
    <col min="5" max="5" width="13.140625" customWidth="1"/>
  </cols>
  <sheetData>
    <row r="3" spans="1:5" x14ac:dyDescent="0.25">
      <c r="A3" s="8" t="s">
        <v>163</v>
      </c>
      <c r="B3" t="s">
        <v>165</v>
      </c>
    </row>
    <row r="4" spans="1:5" x14ac:dyDescent="0.25">
      <c r="A4" s="10" t="s">
        <v>42</v>
      </c>
      <c r="B4" s="3">
        <v>67180.5</v>
      </c>
      <c r="D4" s="12" t="s">
        <v>178</v>
      </c>
      <c r="E4" s="12" t="s">
        <v>165</v>
      </c>
    </row>
    <row r="5" spans="1:5" x14ac:dyDescent="0.25">
      <c r="A5" s="10" t="s">
        <v>58</v>
      </c>
      <c r="B5" s="3">
        <v>50208.35</v>
      </c>
      <c r="D5" s="10" t="s">
        <v>42</v>
      </c>
      <c r="E5" s="3">
        <v>67180.5</v>
      </c>
    </row>
    <row r="6" spans="1:5" x14ac:dyDescent="0.25">
      <c r="A6" s="10" t="s">
        <v>115</v>
      </c>
      <c r="B6" s="3">
        <v>50145.330000000009</v>
      </c>
      <c r="D6" s="10" t="s">
        <v>58</v>
      </c>
      <c r="E6" s="3">
        <v>50208.35</v>
      </c>
    </row>
    <row r="7" spans="1:5" x14ac:dyDescent="0.25">
      <c r="A7" s="10" t="s">
        <v>92</v>
      </c>
      <c r="B7" s="3">
        <v>43713</v>
      </c>
      <c r="D7" s="10" t="s">
        <v>115</v>
      </c>
      <c r="E7" s="3">
        <v>50145.330000000009</v>
      </c>
    </row>
    <row r="8" spans="1:5" x14ac:dyDescent="0.25">
      <c r="A8" s="10" t="s">
        <v>99</v>
      </c>
      <c r="B8" s="3">
        <v>41095.01</v>
      </c>
      <c r="D8" s="10" t="s">
        <v>92</v>
      </c>
      <c r="E8" s="3">
        <v>43713</v>
      </c>
    </row>
    <row r="9" spans="1:5" x14ac:dyDescent="0.25">
      <c r="A9" s="10" t="s">
        <v>84</v>
      </c>
      <c r="B9" s="3">
        <v>37428</v>
      </c>
      <c r="D9" s="10" t="s">
        <v>99</v>
      </c>
      <c r="E9" s="3">
        <v>41095.01</v>
      </c>
    </row>
    <row r="10" spans="1:5" x14ac:dyDescent="0.25">
      <c r="A10" s="10" t="s">
        <v>164</v>
      </c>
      <c r="B10" s="3">
        <v>289770.19</v>
      </c>
      <c r="D10" s="10" t="s">
        <v>84</v>
      </c>
      <c r="E10" s="3">
        <v>37428</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9"/>
  <sheetViews>
    <sheetView workbookViewId="0">
      <selection activeCell="B6" sqref="B6"/>
    </sheetView>
  </sheetViews>
  <sheetFormatPr defaultRowHeight="15" x14ac:dyDescent="0.25"/>
  <cols>
    <col min="1" max="1" width="13.140625" customWidth="1"/>
    <col min="2" max="2" width="15.5703125" customWidth="1"/>
  </cols>
  <sheetData>
    <row r="3" spans="1:2" x14ac:dyDescent="0.25">
      <c r="A3" s="8" t="s">
        <v>163</v>
      </c>
      <c r="B3" t="s">
        <v>165</v>
      </c>
    </row>
    <row r="4" spans="1:2" x14ac:dyDescent="0.25">
      <c r="A4" s="10" t="s">
        <v>99</v>
      </c>
      <c r="B4" s="3">
        <v>41095.01</v>
      </c>
    </row>
    <row r="5" spans="1:2" x14ac:dyDescent="0.25">
      <c r="A5" s="10" t="s">
        <v>92</v>
      </c>
      <c r="B5" s="3">
        <v>43713</v>
      </c>
    </row>
    <row r="6" spans="1:2" x14ac:dyDescent="0.25">
      <c r="A6" s="10" t="s">
        <v>115</v>
      </c>
      <c r="B6" s="3">
        <v>50145.330000000009</v>
      </c>
    </row>
    <row r="7" spans="1:2" x14ac:dyDescent="0.25">
      <c r="A7" s="10" t="s">
        <v>58</v>
      </c>
      <c r="B7" s="3">
        <v>50208.35</v>
      </c>
    </row>
    <row r="8" spans="1:2" x14ac:dyDescent="0.25">
      <c r="A8" s="10" t="s">
        <v>42</v>
      </c>
      <c r="B8" s="3">
        <v>67180.5</v>
      </c>
    </row>
    <row r="9" spans="1:2" x14ac:dyDescent="0.25">
      <c r="A9" s="10" t="s">
        <v>164</v>
      </c>
      <c r="B9" s="3">
        <v>252342.19000000003</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4590D-E223-4240-85BE-AB9C895B5EAC}">
  <dimension ref="A3:E18"/>
  <sheetViews>
    <sheetView workbookViewId="0">
      <selection activeCell="L20" sqref="L20"/>
    </sheetView>
  </sheetViews>
  <sheetFormatPr defaultRowHeight="15" x14ac:dyDescent="0.25"/>
  <cols>
    <col min="1" max="1" width="13.140625" customWidth="1"/>
    <col min="2" max="2" width="15.5703125" customWidth="1"/>
    <col min="5" max="5" width="15.28515625" customWidth="1"/>
  </cols>
  <sheetData>
    <row r="3" spans="1:5" x14ac:dyDescent="0.25">
      <c r="A3" s="8" t="s">
        <v>163</v>
      </c>
      <c r="B3" t="s">
        <v>165</v>
      </c>
    </row>
    <row r="4" spans="1:5" x14ac:dyDescent="0.25">
      <c r="A4" s="10" t="s">
        <v>43</v>
      </c>
      <c r="B4" s="3">
        <v>67180.5</v>
      </c>
    </row>
    <row r="5" spans="1:5" x14ac:dyDescent="0.25">
      <c r="A5" s="10" t="s">
        <v>59</v>
      </c>
      <c r="B5" s="3">
        <v>50208.35</v>
      </c>
    </row>
    <row r="6" spans="1:5" x14ac:dyDescent="0.25">
      <c r="A6" s="10" t="s">
        <v>116</v>
      </c>
      <c r="B6" s="3">
        <v>50145.330000000009</v>
      </c>
      <c r="D6" s="12" t="s">
        <v>179</v>
      </c>
      <c r="E6" s="12" t="s">
        <v>165</v>
      </c>
    </row>
    <row r="7" spans="1:5" x14ac:dyDescent="0.25">
      <c r="A7" s="10" t="s">
        <v>93</v>
      </c>
      <c r="B7" s="3">
        <v>43713</v>
      </c>
      <c r="D7" s="10" t="s">
        <v>43</v>
      </c>
      <c r="E7" s="3">
        <v>67180.5</v>
      </c>
    </row>
    <row r="8" spans="1:5" x14ac:dyDescent="0.25">
      <c r="A8" s="10" t="s">
        <v>100</v>
      </c>
      <c r="B8" s="3">
        <v>41095.01</v>
      </c>
      <c r="D8" s="10" t="s">
        <v>59</v>
      </c>
      <c r="E8" s="3">
        <v>50208.35</v>
      </c>
    </row>
    <row r="9" spans="1:5" x14ac:dyDescent="0.25">
      <c r="A9" s="10" t="s">
        <v>85</v>
      </c>
      <c r="B9" s="3">
        <v>37428</v>
      </c>
      <c r="D9" s="10" t="s">
        <v>116</v>
      </c>
      <c r="E9" s="3">
        <v>50145.330000000009</v>
      </c>
    </row>
    <row r="10" spans="1:5" x14ac:dyDescent="0.25">
      <c r="A10" s="10" t="s">
        <v>121</v>
      </c>
      <c r="B10" s="3">
        <v>36839.990000000005</v>
      </c>
      <c r="D10" s="10" t="s">
        <v>93</v>
      </c>
      <c r="E10" s="3">
        <v>43713</v>
      </c>
    </row>
    <row r="11" spans="1:5" x14ac:dyDescent="0.25">
      <c r="A11" s="10" t="s">
        <v>128</v>
      </c>
      <c r="B11" s="3">
        <v>32530.6</v>
      </c>
      <c r="D11" s="10" t="s">
        <v>100</v>
      </c>
      <c r="E11" s="3">
        <v>41095.01</v>
      </c>
    </row>
    <row r="12" spans="1:5" x14ac:dyDescent="0.25">
      <c r="A12" s="10" t="s">
        <v>77</v>
      </c>
      <c r="B12" s="3">
        <v>27005.38</v>
      </c>
      <c r="D12" s="10" t="s">
        <v>85</v>
      </c>
      <c r="E12" s="3">
        <v>37428</v>
      </c>
    </row>
    <row r="13" spans="1:5" x14ac:dyDescent="0.25">
      <c r="A13" s="10" t="s">
        <v>107</v>
      </c>
      <c r="B13" s="3">
        <v>17204</v>
      </c>
      <c r="D13" s="10" t="s">
        <v>121</v>
      </c>
      <c r="E13" s="3">
        <v>36839.990000000005</v>
      </c>
    </row>
    <row r="14" spans="1:5" x14ac:dyDescent="0.25">
      <c r="A14" s="10" t="s">
        <v>69</v>
      </c>
      <c r="B14" s="3">
        <v>16350.5</v>
      </c>
      <c r="D14" s="10" t="s">
        <v>128</v>
      </c>
      <c r="E14" s="3">
        <v>32530.6</v>
      </c>
    </row>
    <row r="15" spans="1:5" x14ac:dyDescent="0.25">
      <c r="A15" s="10" t="s">
        <v>29</v>
      </c>
      <c r="B15" s="3">
        <v>15365.5</v>
      </c>
      <c r="D15" s="10" t="s">
        <v>77</v>
      </c>
      <c r="E15" s="3">
        <v>27005.38</v>
      </c>
    </row>
    <row r="16" spans="1:5" x14ac:dyDescent="0.25">
      <c r="A16" s="10" t="s">
        <v>164</v>
      </c>
      <c r="B16" s="3">
        <v>435066.16</v>
      </c>
      <c r="D16" s="10" t="s">
        <v>107</v>
      </c>
      <c r="E16" s="3">
        <v>17204</v>
      </c>
    </row>
    <row r="17" spans="4:5" x14ac:dyDescent="0.25">
      <c r="D17" s="10" t="s">
        <v>69</v>
      </c>
      <c r="E17" s="3">
        <v>16350.5</v>
      </c>
    </row>
    <row r="18" spans="4:5" x14ac:dyDescent="0.25">
      <c r="D18" s="10" t="s">
        <v>29</v>
      </c>
      <c r="E18" s="3">
        <v>15365.5</v>
      </c>
    </row>
  </sheetData>
  <sortState xmlns:xlrd2="http://schemas.microsoft.com/office/spreadsheetml/2017/richdata2" ref="D7:E18">
    <sortCondition descending="1" ref="E10:E18"/>
  </sortState>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DED0-D8C3-4281-A76A-2A92B7238DAD}">
  <dimension ref="A3:E11"/>
  <sheetViews>
    <sheetView workbookViewId="0">
      <selection activeCell="J19" sqref="J19"/>
    </sheetView>
  </sheetViews>
  <sheetFormatPr defaultRowHeight="15" x14ac:dyDescent="0.25"/>
  <cols>
    <col min="1" max="1" width="13.140625" bestFit="1" customWidth="1"/>
    <col min="2" max="2" width="17" bestFit="1" customWidth="1"/>
    <col min="5" max="5" width="13.140625" customWidth="1"/>
  </cols>
  <sheetData>
    <row r="3" spans="1:5" x14ac:dyDescent="0.25">
      <c r="A3" s="8" t="s">
        <v>163</v>
      </c>
      <c r="B3" t="s">
        <v>185</v>
      </c>
    </row>
    <row r="4" spans="1:5" x14ac:dyDescent="0.25">
      <c r="A4" s="14" t="s">
        <v>181</v>
      </c>
      <c r="B4" s="15">
        <v>218</v>
      </c>
      <c r="D4" s="12"/>
      <c r="E4" s="12"/>
    </row>
    <row r="5" spans="1:5" x14ac:dyDescent="0.25">
      <c r="A5" s="14" t="s">
        <v>182</v>
      </c>
      <c r="B5" s="15">
        <v>85</v>
      </c>
      <c r="D5" s="10"/>
      <c r="E5" s="3"/>
    </row>
    <row r="6" spans="1:5" x14ac:dyDescent="0.25">
      <c r="A6" s="14" t="s">
        <v>183</v>
      </c>
      <c r="B6" s="15">
        <v>31</v>
      </c>
      <c r="D6" s="10"/>
      <c r="E6" s="3"/>
    </row>
    <row r="7" spans="1:5" x14ac:dyDescent="0.25">
      <c r="A7" s="14" t="s">
        <v>184</v>
      </c>
      <c r="B7" s="15">
        <v>24</v>
      </c>
      <c r="D7" s="10"/>
      <c r="E7" s="3"/>
    </row>
    <row r="8" spans="1:5" x14ac:dyDescent="0.25">
      <c r="A8" s="14" t="s">
        <v>187</v>
      </c>
      <c r="B8" s="15">
        <v>8</v>
      </c>
      <c r="D8" s="10"/>
      <c r="E8" s="3"/>
    </row>
    <row r="9" spans="1:5" x14ac:dyDescent="0.25">
      <c r="A9" s="14" t="s">
        <v>188</v>
      </c>
      <c r="B9" s="15">
        <v>2</v>
      </c>
      <c r="D9" s="10"/>
      <c r="E9" s="3"/>
    </row>
    <row r="10" spans="1:5" x14ac:dyDescent="0.25">
      <c r="A10" s="14" t="s">
        <v>189</v>
      </c>
      <c r="B10" s="15">
        <v>1</v>
      </c>
      <c r="D10" s="10"/>
      <c r="E10" s="3"/>
    </row>
    <row r="11" spans="1:5" x14ac:dyDescent="0.25">
      <c r="A11" s="14" t="s">
        <v>164</v>
      </c>
      <c r="B11" s="15">
        <v>369</v>
      </c>
    </row>
  </sheetData>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C8FB-AAC5-4E59-985A-600C5BCC5303}">
  <sheetPr>
    <pageSetUpPr fitToPage="1"/>
  </sheetPr>
  <dimension ref="A4"/>
  <sheetViews>
    <sheetView showGridLines="0" tabSelected="1" zoomScale="40" zoomScaleNormal="40" workbookViewId="0">
      <selection activeCell="AX78" sqref="AX78"/>
    </sheetView>
  </sheetViews>
  <sheetFormatPr defaultRowHeight="15" x14ac:dyDescent="0.25"/>
  <sheetData>
    <row r="4" customFormat="1" x14ac:dyDescent="0.25"/>
  </sheetData>
  <pageMargins left="0.25" right="0.25" top="0.75" bottom="0.75" header="0.3" footer="0.3"/>
  <pageSetup paperSize="8" fitToHeight="0" orientation="landscape"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28F97-E2EA-4EC0-9AA2-8E6A9CE6F0FE}">
  <dimension ref="A1"/>
  <sheetViews>
    <sheetView showGridLines="0" topLeftCell="A31" zoomScaleNormal="100" workbookViewId="0">
      <selection activeCell="O53" sqref="O53"/>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9C15-3C40-42D0-952F-CBE265FFA73C}">
  <dimension ref="A1"/>
  <sheetViews>
    <sheetView showGridLines="0" topLeftCell="A29" zoomScaleNormal="100" workbookViewId="0">
      <selection activeCell="H40" sqref="H40"/>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Task</vt:lpstr>
      <vt:lpstr>pre analysis board</vt:lpstr>
      <vt:lpstr>sales trend report</vt:lpstr>
      <vt:lpstr>in analysis board</vt:lpstr>
      <vt:lpstr>Data (2)</vt:lpstr>
      <vt:lpstr>Top 10 Customer</vt:lpstr>
      <vt:lpstr>sales rep</vt:lpstr>
      <vt:lpstr>sales by region</vt:lpstr>
      <vt:lpstr>sales by category</vt:lpstr>
      <vt:lpstr>ship city by revenue</vt:lpstr>
      <vt:lpstr>city by revenue</vt:lpstr>
      <vt:lpstr>State performance</vt:lpstr>
      <vt:lpstr>transaction by amount</vt:lpstr>
      <vt:lpstr>dashboard interface</vt:lpstr>
      <vt:lpstr>post analysis board</vt:lpstr>
      <vt:lpstr>postanalysis board</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olaoluwa adeyeye</cp:lastModifiedBy>
  <cp:lastPrinted>2026-02-20T04:24:06Z</cp:lastPrinted>
  <dcterms:created xsi:type="dcterms:W3CDTF">2015-01-21T18:43:03Z</dcterms:created>
  <dcterms:modified xsi:type="dcterms:W3CDTF">2026-03-23T10:04:28Z</dcterms:modified>
</cp:coreProperties>
</file>